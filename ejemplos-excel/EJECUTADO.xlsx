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.shortcut-targets-by-id\12p-i5WjtY_4MzFrlaXHNoEZUUVm_FH6E\00-METROS OPERATIVOS\2026\0626\"/>
    </mc:Choice>
  </mc:AlternateContent>
  <xr:revisionPtr revIDLastSave="0" documentId="13_ncr:1_{5F1F900B-D113-4A72-A938-706395F53A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O A J.O" sheetId="1" r:id="rId1"/>
    <sheet name="P.F SUELDO DEPOSITADO" sheetId="3" r:id="rId2"/>
    <sheet name="S.A SUELDO DEPOSITADO" sheetId="4" r:id="rId3"/>
    <sheet name="SC. SUELDOS DEPOSITADOS" sheetId="11" r:id="rId4"/>
    <sheet name="M2 EJECUTADOS " sheetId="5" r:id="rId5"/>
    <sheet name="P.F FRENTES" sheetId="6" r:id="rId6"/>
    <sheet name="S.A FRENTES" sheetId="7" r:id="rId7"/>
    <sheet name="S.C FRENTES" sheetId="8" r:id="rId8"/>
    <sheet name="SA Descuento" sheetId="9" r:id="rId9"/>
    <sheet name="P.F DESCUENTOS" sheetId="10" r:id="rId10"/>
  </sheets>
  <definedNames>
    <definedName name="_xlnm._FilterDatabase" localSheetId="5" hidden="1">'P.F FRENTES'!$A$1:$F$1</definedName>
    <definedName name="_xlnm._FilterDatabase" localSheetId="1" hidden="1">'P.F SUELDO DEPOSITADO'!#REF!</definedName>
    <definedName name="_xlnm._FilterDatabase" localSheetId="6" hidden="1">'S.A FRENTES'!$A$1:$F$25</definedName>
    <definedName name="_xlnm._FilterDatabase" localSheetId="7" hidden="1">'S.C FRENTES'!$A$1:$F$18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12" i="4" l="1"/>
  <c r="N12" i="4"/>
  <c r="N13" i="4" s="1"/>
  <c r="R11" i="11"/>
  <c r="E34" i="1" s="1"/>
  <c r="O11" i="11"/>
  <c r="N11" i="11"/>
  <c r="R12" i="4" l="1"/>
  <c r="E21" i="1" s="1"/>
  <c r="J3" i="9" l="1"/>
  <c r="J4" i="9"/>
  <c r="J2" i="9"/>
  <c r="J5" i="9" l="1"/>
  <c r="E17" i="1" s="1"/>
  <c r="E28" i="1"/>
  <c r="E20" i="1"/>
  <c r="E14" i="1"/>
  <c r="E15" i="1"/>
  <c r="M17" i="1" l="1"/>
  <c r="E22" i="1" l="1"/>
  <c r="E35" i="1"/>
  <c r="D7" i="5" l="1"/>
  <c r="C7" i="5"/>
  <c r="D6" i="5"/>
  <c r="C6" i="5"/>
  <c r="D5" i="5"/>
  <c r="C5" i="5"/>
  <c r="E6" i="5" l="1"/>
  <c r="E7" i="5"/>
  <c r="C27" i="1" s="1"/>
  <c r="E27" i="1" s="1"/>
  <c r="E29" i="1" s="1"/>
  <c r="E36" i="1" s="1"/>
  <c r="E5" i="5"/>
  <c r="C6" i="1" l="1"/>
  <c r="E6" i="1" s="1"/>
  <c r="E8" i="5"/>
  <c r="C13" i="1"/>
  <c r="E13" i="1" s="1"/>
  <c r="E16" i="1" l="1"/>
  <c r="E23" i="1" s="1"/>
  <c r="C7" i="1"/>
  <c r="E7" i="1" s="1"/>
  <c r="E9" i="1" s="1"/>
</calcChain>
</file>

<file path=xl/sharedStrings.xml><?xml version="1.0" encoding="utf-8"?>
<sst xmlns="http://schemas.openxmlformats.org/spreadsheetml/2006/main" count="948" uniqueCount="294">
  <si>
    <t>Pablo Franciscono</t>
  </si>
  <si>
    <t>VALOR DE METRO VEREDAS</t>
  </si>
  <si>
    <t>TIPO DE FRENTE</t>
  </si>
  <si>
    <t>M2</t>
  </si>
  <si>
    <t>PU ($)</t>
  </si>
  <si>
    <t>TOTAL ($)</t>
  </si>
  <si>
    <t>HONORARIOS</t>
  </si>
  <si>
    <t>CUADRILLA</t>
  </si>
  <si>
    <t>DESCUENTO REPARACION DE MAQUINARIA Y MAT-</t>
  </si>
  <si>
    <t>TOTAL M2</t>
  </si>
  <si>
    <t>PAGO TOTAL</t>
  </si>
  <si>
    <t>Sergio Arena</t>
  </si>
  <si>
    <t>COLOCACION Y HORMIGON</t>
  </si>
  <si>
    <t>SUBTOTAL</t>
  </si>
  <si>
    <t>DESCUENTO REPARACION DE MAQUINARIA Y MAT</t>
  </si>
  <si>
    <t>DESCUENTO COMBUSTIBLE</t>
  </si>
  <si>
    <t>SUBTOTAL DESCUENTO</t>
  </si>
  <si>
    <t>MES ACTUAL</t>
  </si>
  <si>
    <t>JEFE DE OBRA</t>
  </si>
  <si>
    <t>COLOCACION</t>
  </si>
  <si>
    <t>HORMIGON</t>
  </si>
  <si>
    <t>TOTAL M. OPERATIVOS</t>
  </si>
  <si>
    <t>Samoel</t>
  </si>
  <si>
    <t>TOTAL</t>
  </si>
  <si>
    <t>Calle</t>
  </si>
  <si>
    <t>Altura</t>
  </si>
  <si>
    <t>M2 EJECUTADOS</t>
  </si>
  <si>
    <t>Estado</t>
  </si>
  <si>
    <t>Intervención</t>
  </si>
  <si>
    <t>MATERIALIDAD</t>
  </si>
  <si>
    <t>Categoría</t>
  </si>
  <si>
    <t>Cantidad</t>
  </si>
  <si>
    <t>ID</t>
  </si>
  <si>
    <t>Fecha</t>
  </si>
  <si>
    <t>Descripcion</t>
  </si>
  <si>
    <t xml:space="preserve">DESCUENTO ANTICIPO   </t>
  </si>
  <si>
    <t>SERGIO ARENA</t>
  </si>
  <si>
    <t>DESCUENTO SUELDOS</t>
  </si>
  <si>
    <t>APROBADO 30/01/2026</t>
  </si>
  <si>
    <t>APROBADO 01/01/2026</t>
  </si>
  <si>
    <t>SAMOEL CASTILLO</t>
  </si>
  <si>
    <t>PABLO FRANCISCONO</t>
  </si>
  <si>
    <t>DESCUENTO CAMION</t>
  </si>
  <si>
    <t>Legajo</t>
  </si>
  <si>
    <t>Apellido</t>
  </si>
  <si>
    <t>Nombre/s</t>
  </si>
  <si>
    <t>C.U.I.L.</t>
  </si>
  <si>
    <t>Sucursal</t>
  </si>
  <si>
    <t>Sección</t>
  </si>
  <si>
    <t>Servicio</t>
  </si>
  <si>
    <t>Zona de pago</t>
  </si>
  <si>
    <t>Supervisor</t>
  </si>
  <si>
    <t>Ingreso</t>
  </si>
  <si>
    <t>Egreso</t>
  </si>
  <si>
    <t>1° QUINCENA</t>
  </si>
  <si>
    <t>2° QUINCENA</t>
  </si>
  <si>
    <t>FINALES</t>
  </si>
  <si>
    <t>MENSUALES</t>
  </si>
  <si>
    <t>honorario pablo</t>
  </si>
  <si>
    <t>SAC</t>
  </si>
  <si>
    <t>AJUSTES</t>
  </si>
  <si>
    <t>Se descuenta total combustible</t>
  </si>
  <si>
    <t>Si supera los 2200 cobra 3400</t>
  </si>
  <si>
    <t>APROBADO 23/05/26</t>
  </si>
  <si>
    <t>tope 500mil combustible</t>
  </si>
  <si>
    <t>consumo</t>
  </si>
  <si>
    <t>tope</t>
  </si>
  <si>
    <t>saldo</t>
  </si>
  <si>
    <t>Ingreso / Egreso</t>
  </si>
  <si>
    <t>GRUPO SENSEI 1</t>
  </si>
  <si>
    <t>I</t>
  </si>
  <si>
    <t>GRUPO SENSEI</t>
  </si>
  <si>
    <t>E</t>
  </si>
  <si>
    <t>T3</t>
  </si>
  <si>
    <t>MARTILLO BOSCH</t>
  </si>
  <si>
    <t>AMOLADORA BOSCH</t>
  </si>
  <si>
    <t>GRUPO SENSEI CHICO</t>
  </si>
  <si>
    <t>GRUPO SHIMURA</t>
  </si>
  <si>
    <t>reparaciones mayo</t>
  </si>
  <si>
    <t>DISCO DE CORTE HIERRO 9"</t>
  </si>
  <si>
    <t>JUNIO</t>
  </si>
  <si>
    <t>DESCUENTO ANTICIPO   03-07-2026</t>
  </si>
  <si>
    <t>FRENTE PENDIENTE:  Jonte 3861</t>
  </si>
  <si>
    <t>FRENTE PENDIENTE: Marcos sastre 2643</t>
  </si>
  <si>
    <t>DESCUENTO DE FRENTE: EMPEDRADO 2492</t>
  </si>
  <si>
    <t>FRENTES PENDIENTE: EMPEDRADO 2492</t>
  </si>
  <si>
    <t>Jefe de Obra</t>
  </si>
  <si>
    <t>Obra</t>
  </si>
  <si>
    <t>Tipo</t>
  </si>
  <si>
    <t>Remito</t>
  </si>
  <si>
    <t>Item</t>
  </si>
  <si>
    <t>Unidad</t>
  </si>
  <si>
    <t>VEREDAS</t>
  </si>
  <si>
    <t>RETIRO</t>
  </si>
  <si>
    <t>N09522</t>
  </si>
  <si>
    <t>CABO P/ESCOBILLON</t>
  </si>
  <si>
    <t>unid</t>
  </si>
  <si>
    <t>N09535</t>
  </si>
  <si>
    <t>N09566</t>
  </si>
  <si>
    <t>DISCO DE VIDIA 9"</t>
  </si>
  <si>
    <t>unitario</t>
  </si>
  <si>
    <t>parcial</t>
  </si>
  <si>
    <t>GRUPO SENSEI INGRESA PARA REPARACION. DESOLDADO. RM00474 MEDIO</t>
  </si>
  <si>
    <t>GRUPO SENSEI A REVISAR. RM00478 MEDIO</t>
  </si>
  <si>
    <t>GRUPO SENSEI SE REALIZO SOLDADURA DE RUEDA. RM00478 MEDIO</t>
  </si>
  <si>
    <t xml:space="preserve">GRUPO SENSEI SE REALIZO LIMPIEZA DEL CARBURADOR RM00482 </t>
  </si>
  <si>
    <t xml:space="preserve">GRUPO SENSEI SE REALIZO SOLDADURA DE RUEDA RM00482 </t>
  </si>
  <si>
    <t xml:space="preserve">GRUPO SENSEI RETIRA RM00482 </t>
  </si>
  <si>
    <t>TE3 RETIRA A PRESTAMO RM00487 BUENO</t>
  </si>
  <si>
    <t>TE3 DEVOLUCION DE PRESTAMO RM00488 BUENO</t>
  </si>
  <si>
    <t>T7 RETIRA A PRESTAMO. FUNCIONANDO. Y UN ALARGUE RM00494 BUENO</t>
  </si>
  <si>
    <t>T7 DEVOLUCION DE PERCUTOR COMPLETO FUNCIONANDO. RM00495 BUENO</t>
  </si>
  <si>
    <t>AMOLADORA BOSCH A REVISAR RM00500 MEDIO</t>
  </si>
  <si>
    <t>AMOLADORA BOSCH SE AJUSTARON LOS TORNILLOS RM00501 MEDIO</t>
  </si>
  <si>
    <t>MARTILLO BOSCH A REVISAR RM00502 MEDIO</t>
  </si>
  <si>
    <t>reparacionesJUNIO</t>
  </si>
  <si>
    <t>KLD1 SE PUSIERON RUEDAS NUEVAS, BUJIA Y ACEITE Y FILTRO DE AIRE RM00485 MAL USO GRAVE (A DESCONTAR)</t>
  </si>
  <si>
    <t>KLD2 SE SOLDO SOPORTE DE RUEDAS, BUJIA Y FILTRO DE AIRE. ACEITE. RM00485 MAL USO GRAVE (A DESCONTAR)</t>
  </si>
  <si>
    <t>CUTIPA SAAVEDRA</t>
  </si>
  <si>
    <t>AGUSTIN</t>
  </si>
  <si>
    <t>20-94418646-9</t>
  </si>
  <si>
    <t>CENTRAL</t>
  </si>
  <si>
    <t>UOCRA VEREDAS</t>
  </si>
  <si>
    <t>UOCRA QUINCENA</t>
  </si>
  <si>
    <t>CASTILLO SAMOEL</t>
  </si>
  <si>
    <t>UOCRA OFICIAL ESPEC.</t>
  </si>
  <si>
    <t>CASTILLO QUISPE</t>
  </si>
  <si>
    <t>SAMOEL</t>
  </si>
  <si>
    <t>20-94175481-4</t>
  </si>
  <si>
    <t>UOCRA ESPECIALIZADO CAPATAZ</t>
  </si>
  <si>
    <t>CARABAJAL</t>
  </si>
  <si>
    <t>MATIAS EMANUEL</t>
  </si>
  <si>
    <t>20-32386061-1</t>
  </si>
  <si>
    <t>CHOQUEHUANCA QUISPE</t>
  </si>
  <si>
    <t>BRIAN ADEMAR</t>
  </si>
  <si>
    <t>20-94400384-4</t>
  </si>
  <si>
    <t>ORTIZ</t>
  </si>
  <si>
    <t>JORGE EMANUEL</t>
  </si>
  <si>
    <t>20-38188815-1</t>
  </si>
  <si>
    <t>UOCRA OFICIAL</t>
  </si>
  <si>
    <t>CAJAL</t>
  </si>
  <si>
    <t>MIGUEL ENRIQUE</t>
  </si>
  <si>
    <t>20-17862426-2</t>
  </si>
  <si>
    <t>UOCRA OFICIAL ESPEC, CHOFER</t>
  </si>
  <si>
    <t>RODRIGUEZ ALCOSER</t>
  </si>
  <si>
    <t>EUDES</t>
  </si>
  <si>
    <t>20-94319437-9</t>
  </si>
  <si>
    <t>RODRIGUEZ VILLAROEL</t>
  </si>
  <si>
    <t>VLADIMIR</t>
  </si>
  <si>
    <t>20-94524936-7</t>
  </si>
  <si>
    <t>SANCHEZ</t>
  </si>
  <si>
    <t>EMILIO CEFERINO</t>
  </si>
  <si>
    <t>20-21338680-9</t>
  </si>
  <si>
    <t>CHAMBI VEDIA</t>
  </si>
  <si>
    <t>FRANCISCO</t>
  </si>
  <si>
    <t>20-93861478-5</t>
  </si>
  <si>
    <t>RODRIGUEZ ROCHA</t>
  </si>
  <si>
    <t>RAUL EDUARDO</t>
  </si>
  <si>
    <t>20-94486916-7</t>
  </si>
  <si>
    <t>FERNANDEZ LOPEZ</t>
  </si>
  <si>
    <t>CASIMIRO</t>
  </si>
  <si>
    <t>20-94788169-9</t>
  </si>
  <si>
    <t>CASTILLO</t>
  </si>
  <si>
    <t>LEANDRO MISAEL</t>
  </si>
  <si>
    <t>20-44129001-3</t>
  </si>
  <si>
    <t>RODRIGUEZ CHAVEZ</t>
  </si>
  <si>
    <t>MOISES</t>
  </si>
  <si>
    <t>20-96034749-9</t>
  </si>
  <si>
    <t>CHAMBI MAMANI</t>
  </si>
  <si>
    <t>JONAS WALTER</t>
  </si>
  <si>
    <t>20-93864483-8</t>
  </si>
  <si>
    <t>FERNANDEZ ROJAS</t>
  </si>
  <si>
    <t>JHOEL</t>
  </si>
  <si>
    <t>20-95338010-3</t>
  </si>
  <si>
    <t>ARANDA</t>
  </si>
  <si>
    <t>WALTER GUSTAVO</t>
  </si>
  <si>
    <t>20-25639074-5</t>
  </si>
  <si>
    <t>TORRICO ROJAS</t>
  </si>
  <si>
    <t>JHON CLAUDIO</t>
  </si>
  <si>
    <t>20-95095576-8</t>
  </si>
  <si>
    <t>UOCRA AYUDANTE</t>
  </si>
  <si>
    <t>HUARACHI CAMACHO</t>
  </si>
  <si>
    <t>LUIS FERNANDO</t>
  </si>
  <si>
    <t>23-94933010-9</t>
  </si>
  <si>
    <t>SANTIAGO AGUSTIN</t>
  </si>
  <si>
    <t>20-42928145-9</t>
  </si>
  <si>
    <t>ROSANO</t>
  </si>
  <si>
    <t>FERNANDO MARTIN</t>
  </si>
  <si>
    <t>20-37067183-5</t>
  </si>
  <si>
    <t>RIVAS CABALLERO</t>
  </si>
  <si>
    <t>JOSE MANUEL</t>
  </si>
  <si>
    <t>20-95108572-4</t>
  </si>
  <si>
    <t>ROMERO</t>
  </si>
  <si>
    <t>ROBERTO RAMON</t>
  </si>
  <si>
    <t>20-35341843-3</t>
  </si>
  <si>
    <t>MEZA</t>
  </si>
  <si>
    <t>JORGE RUBEN</t>
  </si>
  <si>
    <t>20-27138368-2</t>
  </si>
  <si>
    <t>RODRIGUEZ</t>
  </si>
  <si>
    <t>ALFREDO ROQUE</t>
  </si>
  <si>
    <t>20-26736333-2</t>
  </si>
  <si>
    <t>LEONARDO OSCAR</t>
  </si>
  <si>
    <t>20-33144430-9</t>
  </si>
  <si>
    <t>MANUEL</t>
  </si>
  <si>
    <t>DANIEL ALBERTO</t>
  </si>
  <si>
    <t>20-40006052-6</t>
  </si>
  <si>
    <t>SANTIAGO ISMAEL</t>
  </si>
  <si>
    <t>20-43796730-0</t>
  </si>
  <si>
    <t>LAUTARO ABEL</t>
  </si>
  <si>
    <t>20-42053599-7</t>
  </si>
  <si>
    <t>RENE ALBERTO</t>
  </si>
  <si>
    <t>20-31509898-0</t>
  </si>
  <si>
    <t>ARNALDO GASTON</t>
  </si>
  <si>
    <t>20-38717013-9</t>
  </si>
  <si>
    <t>ELIAS MARIANO</t>
  </si>
  <si>
    <t>23-45159147-9</t>
  </si>
  <si>
    <t>SILVA</t>
  </si>
  <si>
    <t>CRISTIAN MAURICIO</t>
  </si>
  <si>
    <t>20-30650248-5</t>
  </si>
  <si>
    <t>GARCIA CRUZ</t>
  </si>
  <si>
    <t>OMAR MISAEL</t>
  </si>
  <si>
    <t>20-95346650-4</t>
  </si>
  <si>
    <t>OLGUIN MAMANI</t>
  </si>
  <si>
    <t>RAUL</t>
  </si>
  <si>
    <t>20-94679033-9</t>
  </si>
  <si>
    <t>ALLENDE</t>
  </si>
  <si>
    <t>ASUNCION</t>
  </si>
  <si>
    <t>BACON</t>
  </si>
  <si>
    <t>BAZURCO</t>
  </si>
  <si>
    <t>CABEZON, JOSE LEON</t>
  </si>
  <si>
    <t>CANTILO, JOSE LUIS</t>
  </si>
  <si>
    <t>CONCORDIA</t>
  </si>
  <si>
    <t>CUBAS, JOSE</t>
  </si>
  <si>
    <t>GUTENBERG</t>
  </si>
  <si>
    <t xml:space="preserve">HELGUERA </t>
  </si>
  <si>
    <t>LLAVALLOL</t>
  </si>
  <si>
    <t>MARCOS PAZ</t>
  </si>
  <si>
    <t>MERCEDES</t>
  </si>
  <si>
    <t>MISTRAL, GABRIELA</t>
  </si>
  <si>
    <t>MORAN, PEDRO</t>
  </si>
  <si>
    <t>MOSCONI GENERAL AV.</t>
  </si>
  <si>
    <t>PAREJA</t>
  </si>
  <si>
    <t xml:space="preserve">PAREJA </t>
  </si>
  <si>
    <t>SAN BLAS</t>
  </si>
  <si>
    <t>SAN NICOLAS</t>
  </si>
  <si>
    <t>SANABRIA</t>
  </si>
  <si>
    <t>SEGUROLA AV.</t>
  </si>
  <si>
    <t>SOLANO LOPEZ, F., MARISCAL</t>
  </si>
  <si>
    <t>VALLEJOS</t>
  </si>
  <si>
    <t>CERTIFICADO 34</t>
  </si>
  <si>
    <t>COMPLETO</t>
  </si>
  <si>
    <t>PARCIAL</t>
  </si>
  <si>
    <t>ALVAREZ JONTE</t>
  </si>
  <si>
    <t>ALVAREZ JONTE AV.</t>
  </si>
  <si>
    <t>ARREGUI</t>
  </si>
  <si>
    <t>ARREGUI AV.</t>
  </si>
  <si>
    <t>BUFANO, ALFREDO R.</t>
  </si>
  <si>
    <t>CARACAS</t>
  </si>
  <si>
    <t>CUENCA</t>
  </si>
  <si>
    <t>FERNANDEZ ESPIRO DIEGO</t>
  </si>
  <si>
    <t>GARCIA, JUAN AGUSTIN</t>
  </si>
  <si>
    <t>GAVILAN</t>
  </si>
  <si>
    <t>GONZALEZ, JOAQUIN V.</t>
  </si>
  <si>
    <t>INGENIEROS, JOSE</t>
  </si>
  <si>
    <t xml:space="preserve">INGENIEROS, JOSE </t>
  </si>
  <si>
    <t>JUSTO, JUAN B. AV.</t>
  </si>
  <si>
    <t>LAMARCA, EMILIO</t>
  </si>
  <si>
    <t>LASCANO</t>
  </si>
  <si>
    <t>LEON, BERNARDO DE</t>
  </si>
  <si>
    <t>MAGARIÑOS CERVANTES, A.</t>
  </si>
  <si>
    <t>MARTIN PESCADOR</t>
  </si>
  <si>
    <t>MIRANDA</t>
  </si>
  <si>
    <t>TERRERO</t>
  </si>
  <si>
    <t>VILARDEBO, TEODORO</t>
  </si>
  <si>
    <t>ARGERICH</t>
  </si>
  <si>
    <t>BAIGORRIA</t>
  </si>
  <si>
    <t>CHIVILCOY AV.</t>
  </si>
  <si>
    <t>CONDARCO</t>
  </si>
  <si>
    <t>ESTADO PLURINACIONAL DE BOLIVIA</t>
  </si>
  <si>
    <t>GUALEGUAYCHU</t>
  </si>
  <si>
    <t>GUTIERREZ, RICARDO</t>
  </si>
  <si>
    <t>HELGUERA</t>
  </si>
  <si>
    <t>JUAREZ, BENITO</t>
  </si>
  <si>
    <t>LOZANO, PEDRO</t>
  </si>
  <si>
    <t>MELINCUE</t>
  </si>
  <si>
    <t>NAZARRE</t>
  </si>
  <si>
    <t>NOGOYA</t>
  </si>
  <si>
    <t>PAZ, MARCOS</t>
  </si>
  <si>
    <t>QUEVEDO</t>
  </si>
  <si>
    <t>RIVAS, GRAL.</t>
  </si>
  <si>
    <t>SIMBRON</t>
  </si>
  <si>
    <t>TERRADA</t>
  </si>
  <si>
    <t>VARELA, JOSE PEDRO</t>
  </si>
  <si>
    <t>260 camiones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</si>
</sst>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$&quot;\ * #,##0.00_-;\-&quot;$&quot;\ * #,##0.00_-;_-&quot;$&quot;\ * &quot;-&quot;??_-;_-@_-"/>
    <numFmt numFmtId="164" formatCode="_-&quot;$&quot;\ * #,##0.00_-;\-&quot;$&quot;\ * #,##0.00_-;_-&quot;$&quot;\ * &quot;-&quot;??_-;_-@"/>
    <numFmt numFmtId="165" formatCode="0.0\ &quot;M2&quot;"/>
    <numFmt numFmtId="166" formatCode="0.0"/>
    <numFmt numFmtId="167" formatCode="[$ $]#,##0.00"/>
    <numFmt numFmtId="168" formatCode="dd/mm/yyyy"/>
  </numFmts>
  <fonts count="2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FF0000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0057D9"/>
        <bgColor indexed="64"/>
      </patternFill>
    </fill>
  </fills>
  <borders count="3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/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0" fontId="8" fillId="0" borderId="24"/>
    <xf numFmtId="44" fontId="8" fillId="0" borderId="24" applyFont="0" applyFill="0" applyBorder="0" applyAlignment="0" applyProtection="0"/>
    <xf numFmtId="0" fontId="7" fillId="0" borderId="24"/>
    <xf numFmtId="44" fontId="7" fillId="0" borderId="24" applyFont="0" applyFill="0" applyBorder="0" applyAlignment="0" applyProtection="0"/>
    <xf numFmtId="44" fontId="22" fillId="0" borderId="0" applyFont="0" applyFill="0" applyBorder="0" applyAlignment="0" applyProtection="0"/>
    <xf numFmtId="0" fontId="5" fillId="0" borderId="24"/>
    <xf numFmtId="44" fontId="5" fillId="0" borderId="24" applyFont="0" applyFill="0" applyBorder="0" applyAlignment="0" applyProtection="0"/>
    <xf numFmtId="0" fontId="2" fillId="0" borderId="24"/>
    <xf numFmtId="44" fontId="2" fillId="0" borderId="24" applyFont="0" applyFill="0" applyBorder="0" applyAlignment="0" applyProtection="0"/>
  </cellStyleXfs>
  <cellXfs count="117">
    <xf numFmtId="0" fontId="0" fillId="0" borderId="0" xfId="0"/>
    <xf numFmtId="0" fontId="9" fillId="0" borderId="0" xfId="0" applyFont="1"/>
    <xf numFmtId="164" fontId="9" fillId="0" borderId="0" xfId="0" applyNumberFormat="1" applyFont="1"/>
    <xf numFmtId="16" fontId="9" fillId="0" borderId="0" xfId="0" applyNumberFormat="1" applyFont="1"/>
    <xf numFmtId="17" fontId="12" fillId="2" borderId="4" xfId="0" applyNumberFormat="1" applyFont="1" applyFill="1" applyBorder="1" applyAlignment="1">
      <alignment horizontal="center"/>
    </xf>
    <xf numFmtId="0" fontId="12" fillId="2" borderId="5" xfId="0" applyFont="1" applyFill="1" applyBorder="1"/>
    <xf numFmtId="0" fontId="9" fillId="3" borderId="6" xfId="0" applyFont="1" applyFill="1" applyBorder="1" applyAlignment="1">
      <alignment horizontal="center" vertical="top"/>
    </xf>
    <xf numFmtId="165" fontId="9" fillId="3" borderId="7" xfId="0" applyNumberFormat="1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65" fontId="13" fillId="3" borderId="9" xfId="0" applyNumberFormat="1" applyFont="1" applyFill="1" applyBorder="1" applyAlignment="1">
      <alignment horizontal="center" vertical="center"/>
    </xf>
    <xf numFmtId="0" fontId="9" fillId="3" borderId="5" xfId="0" applyFont="1" applyFill="1" applyBorder="1"/>
    <xf numFmtId="0" fontId="9" fillId="0" borderId="10" xfId="0" applyFont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4" fontId="9" fillId="0" borderId="11" xfId="0" applyNumberFormat="1" applyFont="1" applyBorder="1"/>
    <xf numFmtId="164" fontId="9" fillId="0" borderId="12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3" xfId="0" applyFont="1" applyBorder="1" applyAlignment="1">
      <alignment horizontal="left"/>
    </xf>
    <xf numFmtId="164" fontId="9" fillId="0" borderId="15" xfId="0" applyNumberFormat="1" applyFont="1" applyBorder="1"/>
    <xf numFmtId="0" fontId="9" fillId="0" borderId="11" xfId="0" applyFont="1" applyBorder="1"/>
    <xf numFmtId="164" fontId="12" fillId="0" borderId="4" xfId="0" applyNumberFormat="1" applyFont="1" applyBorder="1"/>
    <xf numFmtId="0" fontId="9" fillId="0" borderId="17" xfId="0" applyFont="1" applyBorder="1" applyAlignment="1">
      <alignment horizontal="center" vertical="center"/>
    </xf>
    <xf numFmtId="164" fontId="9" fillId="4" borderId="21" xfId="0" applyNumberFormat="1" applyFont="1" applyFill="1" applyBorder="1"/>
    <xf numFmtId="0" fontId="9" fillId="0" borderId="0" xfId="0" applyFont="1" applyAlignment="1">
      <alignment horizontal="left"/>
    </xf>
    <xf numFmtId="0" fontId="14" fillId="0" borderId="4" xfId="0" applyFont="1" applyBorder="1"/>
    <xf numFmtId="0" fontId="14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6" fillId="0" borderId="25" xfId="0" applyFont="1" applyBorder="1" applyAlignment="1">
      <alignment horizontal="left" vertical="top"/>
    </xf>
    <xf numFmtId="165" fontId="16" fillId="0" borderId="25" xfId="0" applyNumberFormat="1" applyFont="1" applyBorder="1" applyAlignment="1">
      <alignment horizontal="center" vertical="center"/>
    </xf>
    <xf numFmtId="165" fontId="17" fillId="5" borderId="12" xfId="0" applyNumberFormat="1" applyFont="1" applyFill="1" applyBorder="1" applyAlignment="1">
      <alignment horizontal="center" vertical="center"/>
    </xf>
    <xf numFmtId="0" fontId="16" fillId="0" borderId="12" xfId="0" applyFont="1" applyBorder="1" applyAlignment="1">
      <alignment horizontal="left" vertical="top"/>
    </xf>
    <xf numFmtId="165" fontId="16" fillId="0" borderId="12" xfId="0" applyNumberFormat="1" applyFont="1" applyBorder="1" applyAlignment="1">
      <alignment horizontal="center" vertical="center"/>
    </xf>
    <xf numFmtId="165" fontId="17" fillId="5" borderId="26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165" fontId="9" fillId="0" borderId="2" xfId="0" applyNumberFormat="1" applyFont="1" applyBorder="1" applyAlignment="1">
      <alignment horizontal="center"/>
    </xf>
    <xf numFmtId="165" fontId="18" fillId="5" borderId="4" xfId="0" applyNumberFormat="1" applyFont="1" applyFill="1" applyBorder="1" applyAlignment="1">
      <alignment horizontal="center" vertical="center"/>
    </xf>
    <xf numFmtId="0" fontId="9" fillId="6" borderId="27" xfId="0" applyFont="1" applyFill="1" applyBorder="1" applyAlignment="1">
      <alignment horizontal="left" vertical="center"/>
    </xf>
    <xf numFmtId="0" fontId="9" fillId="6" borderId="28" xfId="0" applyFont="1" applyFill="1" applyBorder="1" applyAlignment="1">
      <alignment horizontal="left" vertical="center"/>
    </xf>
    <xf numFmtId="0" fontId="13" fillId="7" borderId="29" xfId="0" applyFont="1" applyFill="1" applyBorder="1"/>
    <xf numFmtId="0" fontId="13" fillId="7" borderId="30" xfId="0" applyFont="1" applyFill="1" applyBorder="1" applyAlignment="1">
      <alignment horizontal="center"/>
    </xf>
    <xf numFmtId="0" fontId="13" fillId="7" borderId="30" xfId="0" applyFont="1" applyFill="1" applyBorder="1"/>
    <xf numFmtId="0" fontId="13" fillId="8" borderId="31" xfId="0" applyFont="1" applyFill="1" applyBorder="1"/>
    <xf numFmtId="0" fontId="13" fillId="8" borderId="32" xfId="0" applyFont="1" applyFill="1" applyBorder="1" applyAlignment="1">
      <alignment horizontal="center"/>
    </xf>
    <xf numFmtId="0" fontId="13" fillId="8" borderId="32" xfId="0" applyFont="1" applyFill="1" applyBorder="1"/>
    <xf numFmtId="0" fontId="9" fillId="6" borderId="28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20" fillId="9" borderId="0" xfId="0" applyFont="1" applyFill="1" applyAlignment="1">
      <alignment horizontal="center" wrapText="1"/>
    </xf>
    <xf numFmtId="14" fontId="20" fillId="9" borderId="0" xfId="0" applyNumberFormat="1" applyFont="1" applyFill="1" applyAlignment="1">
      <alignment horizontal="center"/>
    </xf>
    <xf numFmtId="0" fontId="20" fillId="0" borderId="0" xfId="0" applyFont="1" applyAlignment="1">
      <alignment horizontal="center" wrapText="1"/>
    </xf>
    <xf numFmtId="14" fontId="2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/>
    <xf numFmtId="0" fontId="21" fillId="10" borderId="0" xfId="0" applyFont="1" applyFill="1"/>
    <xf numFmtId="0" fontId="23" fillId="0" borderId="0" xfId="0" applyFont="1" applyAlignment="1">
      <alignment horizontal="center"/>
    </xf>
    <xf numFmtId="44" fontId="0" fillId="0" borderId="0" xfId="0" applyNumberFormat="1"/>
    <xf numFmtId="44" fontId="0" fillId="0" borderId="0" xfId="5" applyFont="1"/>
    <xf numFmtId="0" fontId="6" fillId="0" borderId="0" xfId="0" applyFont="1"/>
    <xf numFmtId="164" fontId="12" fillId="4" borderId="21" xfId="0" applyNumberFormat="1" applyFont="1" applyFill="1" applyBorder="1"/>
    <xf numFmtId="164" fontId="12" fillId="0" borderId="38" xfId="0" applyNumberFormat="1" applyFont="1" applyBorder="1"/>
    <xf numFmtId="44" fontId="9" fillId="0" borderId="0" xfId="5" applyFont="1"/>
    <xf numFmtId="14" fontId="25" fillId="0" borderId="0" xfId="0" applyNumberFormat="1" applyFont="1" applyAlignment="1">
      <alignment wrapText="1"/>
    </xf>
    <xf numFmtId="0" fontId="25" fillId="0" borderId="0" xfId="0" applyFont="1" applyAlignment="1">
      <alignment wrapText="1"/>
    </xf>
    <xf numFmtId="0" fontId="4" fillId="0" borderId="0" xfId="0" applyFont="1"/>
    <xf numFmtId="166" fontId="9" fillId="0" borderId="20" xfId="0" applyNumberFormat="1" applyFont="1" applyBorder="1" applyAlignment="1">
      <alignment horizontal="center" vertical="center"/>
    </xf>
    <xf numFmtId="0" fontId="0" fillId="0" borderId="33" xfId="0" applyBorder="1"/>
    <xf numFmtId="0" fontId="23" fillId="0" borderId="33" xfId="0" applyFont="1" applyBorder="1" applyAlignment="1">
      <alignment horizontal="center"/>
    </xf>
    <xf numFmtId="44" fontId="23" fillId="0" borderId="33" xfId="5" applyFont="1" applyBorder="1" applyAlignment="1">
      <alignment horizontal="center"/>
    </xf>
    <xf numFmtId="44" fontId="9" fillId="0" borderId="33" xfId="5" applyFont="1" applyBorder="1"/>
    <xf numFmtId="0" fontId="9" fillId="0" borderId="33" xfId="0" applyFont="1" applyBorder="1"/>
    <xf numFmtId="17" fontId="9" fillId="0" borderId="33" xfId="0" applyNumberFormat="1" applyFont="1" applyBorder="1" applyAlignment="1">
      <alignment horizontal="center"/>
    </xf>
    <xf numFmtId="167" fontId="9" fillId="0" borderId="0" xfId="0" applyNumberFormat="1" applyFont="1" applyAlignment="1">
      <alignment horizontal="center"/>
    </xf>
    <xf numFmtId="0" fontId="9" fillId="0" borderId="11" xfId="0" applyFont="1" applyBorder="1" applyAlignment="1">
      <alignment horizontal="center"/>
    </xf>
    <xf numFmtId="0" fontId="3" fillId="0" borderId="0" xfId="0" applyFont="1"/>
    <xf numFmtId="14" fontId="12" fillId="2" borderId="5" xfId="0" applyNumberFormat="1" applyFont="1" applyFill="1" applyBorder="1"/>
    <xf numFmtId="0" fontId="9" fillId="0" borderId="24" xfId="0" applyFont="1" applyBorder="1" applyAlignment="1">
      <alignment horizontal="center"/>
    </xf>
    <xf numFmtId="44" fontId="0" fillId="0" borderId="0" xfId="5" applyFont="1" applyAlignment="1">
      <alignment horizontal="center"/>
    </xf>
    <xf numFmtId="0" fontId="2" fillId="0" borderId="0" xfId="0" applyFont="1"/>
    <xf numFmtId="0" fontId="9" fillId="0" borderId="18" xfId="0" applyFont="1" applyBorder="1" applyAlignment="1">
      <alignment horizontal="center" vertical="center"/>
    </xf>
    <xf numFmtId="0" fontId="9" fillId="0" borderId="24" xfId="0" applyFont="1" applyBorder="1"/>
    <xf numFmtId="164" fontId="9" fillId="0" borderId="24" xfId="0" applyNumberFormat="1" applyFont="1" applyBorder="1"/>
    <xf numFmtId="0" fontId="9" fillId="0" borderId="22" xfId="0" applyFont="1" applyBorder="1" applyAlignment="1">
      <alignment horizontal="left"/>
    </xf>
    <xf numFmtId="164" fontId="9" fillId="0" borderId="21" xfId="0" applyNumberFormat="1" applyFont="1" applyBorder="1"/>
    <xf numFmtId="0" fontId="26" fillId="11" borderId="0" xfId="0" applyFont="1" applyFill="1" applyAlignment="1">
      <alignment horizontal="center" vertical="center" wrapText="1"/>
    </xf>
    <xf numFmtId="14" fontId="0" fillId="0" borderId="0" xfId="0" applyNumberFormat="1"/>
    <xf numFmtId="168" fontId="0" fillId="0" borderId="33" xfId="0" applyNumberFormat="1" applyBorder="1"/>
    <xf numFmtId="44" fontId="21" fillId="0" borderId="33" xfId="5" applyFont="1" applyBorder="1"/>
    <xf numFmtId="0" fontId="21" fillId="0" borderId="0" xfId="0" applyFont="1"/>
    <xf numFmtId="44" fontId="21" fillId="0" borderId="0" xfId="0" applyNumberFormat="1" applyFont="1"/>
    <xf numFmtId="44" fontId="21" fillId="0" borderId="34" xfId="5" applyFont="1" applyBorder="1"/>
    <xf numFmtId="14" fontId="0" fillId="0" borderId="0" xfId="0" applyNumberFormat="1" applyAlignment="1">
      <alignment horizontal="center"/>
    </xf>
    <xf numFmtId="0" fontId="1" fillId="0" borderId="0" xfId="0" applyFont="1"/>
    <xf numFmtId="0" fontId="0" fillId="10" borderId="33" xfId="0" applyFill="1" applyBorder="1"/>
    <xf numFmtId="168" fontId="0" fillId="10" borderId="33" xfId="0" applyNumberFormat="1" applyFill="1" applyBorder="1"/>
    <xf numFmtId="44" fontId="21" fillId="10" borderId="33" xfId="5" applyFont="1" applyFill="1" applyBorder="1"/>
    <xf numFmtId="0" fontId="0" fillId="10" borderId="0" xfId="0" applyFill="1"/>
    <xf numFmtId="0" fontId="12" fillId="4" borderId="22" xfId="0" applyFont="1" applyFill="1" applyBorder="1" applyAlignment="1">
      <alignment horizontal="center"/>
    </xf>
    <xf numFmtId="0" fontId="24" fillId="0" borderId="23" xfId="0" applyFont="1" applyBorder="1"/>
    <xf numFmtId="0" fontId="24" fillId="0" borderId="24" xfId="0" applyFont="1" applyBorder="1"/>
    <xf numFmtId="0" fontId="12" fillId="0" borderId="1" xfId="0" applyFont="1" applyBorder="1" applyAlignment="1">
      <alignment horizontal="center"/>
    </xf>
    <xf numFmtId="0" fontId="11" fillId="0" borderId="2" xfId="0" applyFont="1" applyBorder="1"/>
    <xf numFmtId="0" fontId="9" fillId="0" borderId="13" xfId="0" applyFont="1" applyBorder="1" applyAlignment="1">
      <alignment horizontal="left"/>
    </xf>
    <xf numFmtId="0" fontId="0" fillId="0" borderId="0" xfId="0"/>
    <xf numFmtId="0" fontId="11" fillId="0" borderId="14" xfId="0" applyFont="1" applyBorder="1"/>
    <xf numFmtId="0" fontId="9" fillId="4" borderId="22" xfId="0" applyFont="1" applyFill="1" applyBorder="1" applyAlignment="1">
      <alignment horizontal="center"/>
    </xf>
    <xf numFmtId="0" fontId="11" fillId="0" borderId="23" xfId="0" applyFont="1" applyBorder="1"/>
    <xf numFmtId="0" fontId="11" fillId="0" borderId="24" xfId="0" applyFont="1" applyBorder="1"/>
    <xf numFmtId="0" fontId="12" fillId="0" borderId="35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2" fillId="0" borderId="37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1" fillId="0" borderId="16" xfId="0" applyFont="1" applyBorder="1"/>
    <xf numFmtId="0" fontId="9" fillId="4" borderId="18" xfId="0" applyFont="1" applyFill="1" applyBorder="1" applyAlignment="1">
      <alignment horizontal="center"/>
    </xf>
    <xf numFmtId="0" fontId="11" fillId="0" borderId="19" xfId="0" applyFont="1" applyBorder="1"/>
    <xf numFmtId="0" fontId="11" fillId="0" borderId="20" xfId="0" applyFont="1" applyBorder="1"/>
    <xf numFmtId="0" fontId="11" fillId="0" borderId="3" xfId="0" applyFont="1" applyBorder="1"/>
    <xf numFmtId="17" fontId="10" fillId="3" borderId="1" xfId="0" applyNumberFormat="1" applyFont="1" applyFill="1" applyBorder="1" applyAlignment="1">
      <alignment horizontal="center"/>
    </xf>
    <xf numFmtId="0" fontId="27" fillId="0" borderId="0" xfId="0" applyFont="1"/>
  </cellXfs>
  <cellStyles count="10">
    <cellStyle name="Moneda" xfId="5" builtinId="4"/>
    <cellStyle name="Moneda 2" xfId="2" xr:uid="{6BEBBC5F-C46F-472F-A4BE-A577D407345C}"/>
    <cellStyle name="Moneda 3" xfId="4" xr:uid="{DB3FBF54-2905-4214-9883-8BDB24998AF8}"/>
    <cellStyle name="Moneda 4" xfId="7" xr:uid="{0442EE3C-369E-46FB-85CF-28C8F680741D}"/>
    <cellStyle name="Moneda 5" xfId="9" xr:uid="{EA76FC49-B3EC-45B8-8168-49BAAA5A50AD}"/>
    <cellStyle name="Normal" xfId="0" builtinId="0"/>
    <cellStyle name="Normal 2" xfId="1" xr:uid="{8F1505B3-AF38-42AB-898C-79BF5895BD3F}"/>
    <cellStyle name="Normal 3" xfId="3" xr:uid="{5074F1ED-E1B1-4820-8D3C-7AF246D2BBBF}"/>
    <cellStyle name="Normal 4" xfId="6" xr:uid="{BB58EA67-36C3-4FD0-AAA0-370DE76F76E6}"/>
    <cellStyle name="Normal 5" xfId="8" xr:uid="{6EB8573E-2F3E-47E2-9CD3-60D66ABA2C17}"/>
  </cellStyles>
  <dxfs count="3"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A Descuento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D3E07CF-0E07-4C84-857B-6A079795CAC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6073873-13aa-4587-846c-7399f35223b6&quot;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6"/>
  <sheetViews>
    <sheetView tabSelected="1" workbookViewId="0">
      <selection activeCell="E30" sqref="E30"/>
    </sheetView>
  </sheetViews>
  <sheetFormatPr baseColWidth="10" defaultColWidth="14.44140625" defaultRowHeight="15" customHeight="1" x14ac:dyDescent="0.3"/>
  <cols>
    <col min="1" max="1" width="1" customWidth="1"/>
    <col min="2" max="2" width="43.109375" bestFit="1" customWidth="1"/>
    <col min="3" max="3" width="9.88671875" bestFit="1" customWidth="1"/>
    <col min="4" max="4" width="14.33203125" customWidth="1"/>
    <col min="5" max="5" width="16.5546875" customWidth="1"/>
    <col min="6" max="6" width="1.77734375" customWidth="1"/>
    <col min="7" max="7" width="2" customWidth="1"/>
    <col min="8" max="8" width="15.33203125" customWidth="1"/>
    <col min="9" max="9" width="12.33203125" customWidth="1"/>
    <col min="10" max="10" width="26.6640625" bestFit="1" customWidth="1"/>
    <col min="11" max="11" width="18.33203125" customWidth="1"/>
    <col min="12" max="12" width="14.5546875" customWidth="1"/>
    <col min="13" max="13" width="15.44140625" bestFit="1" customWidth="1"/>
  </cols>
  <sheetData>
    <row r="1" spans="1:13" ht="3.7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.7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9" customHeight="1" thickBot="1" x14ac:dyDescent="0.35">
      <c r="A3" s="1"/>
      <c r="B3" s="1"/>
      <c r="C3" s="1"/>
      <c r="D3" s="1"/>
      <c r="E3" s="1"/>
      <c r="F3" s="1"/>
      <c r="G3" s="2"/>
      <c r="H3" s="1"/>
      <c r="J3" s="1"/>
      <c r="K3" s="3"/>
      <c r="L3" s="2"/>
      <c r="M3" s="1"/>
    </row>
    <row r="4" spans="1:13" ht="14.25" customHeight="1" thickBot="1" x14ac:dyDescent="0.35">
      <c r="A4" s="1"/>
      <c r="B4" s="109" t="s">
        <v>41</v>
      </c>
      <c r="C4" s="99"/>
      <c r="D4" s="114"/>
      <c r="E4" s="4" t="s">
        <v>80</v>
      </c>
      <c r="F4" s="1"/>
      <c r="G4" s="1"/>
      <c r="H4" s="5" t="s">
        <v>1</v>
      </c>
      <c r="I4" s="5"/>
      <c r="J4" s="73"/>
      <c r="K4" s="5" t="s">
        <v>58</v>
      </c>
      <c r="L4" s="1"/>
      <c r="M4" s="1"/>
    </row>
    <row r="5" spans="1:13" ht="14.25" customHeight="1" x14ac:dyDescent="0.3">
      <c r="A5" s="1"/>
      <c r="B5" s="6" t="s">
        <v>2</v>
      </c>
      <c r="C5" s="7" t="s">
        <v>3</v>
      </c>
      <c r="D5" s="8" t="s">
        <v>4</v>
      </c>
      <c r="E5" s="9" t="s">
        <v>5</v>
      </c>
      <c r="F5" s="1"/>
      <c r="G5" s="1"/>
      <c r="H5" s="10" t="s">
        <v>38</v>
      </c>
      <c r="I5" s="10"/>
      <c r="J5" s="10" t="s">
        <v>63</v>
      </c>
      <c r="K5" s="59">
        <v>1911217</v>
      </c>
      <c r="L5" s="1"/>
      <c r="M5" s="51"/>
    </row>
    <row r="6" spans="1:13" ht="14.25" customHeight="1" x14ac:dyDescent="0.3">
      <c r="A6" s="1"/>
      <c r="B6" s="11" t="s">
        <v>6</v>
      </c>
      <c r="C6" s="12">
        <f>+'M2 EJECUTADOS '!E5</f>
        <v>2316.4000000000005</v>
      </c>
      <c r="D6" s="13">
        <v>600</v>
      </c>
      <c r="E6" s="14">
        <f t="shared" ref="E6:E7" si="0">D6*C6</f>
        <v>1389840.0000000002</v>
      </c>
      <c r="F6" s="1"/>
      <c r="G6" s="2"/>
      <c r="H6" s="15" t="s">
        <v>6</v>
      </c>
      <c r="I6" s="13">
        <v>500</v>
      </c>
      <c r="J6" s="1" t="s">
        <v>62</v>
      </c>
      <c r="K6" s="1"/>
      <c r="L6" s="1"/>
      <c r="M6" s="1"/>
    </row>
    <row r="7" spans="1:13" ht="14.25" customHeight="1" x14ac:dyDescent="0.3">
      <c r="A7" s="1"/>
      <c r="B7" s="11" t="s">
        <v>7</v>
      </c>
      <c r="C7" s="12">
        <f>C6</f>
        <v>2316.4000000000005</v>
      </c>
      <c r="D7" s="13">
        <v>2800</v>
      </c>
      <c r="E7" s="14">
        <f t="shared" si="0"/>
        <v>6485920.0000000019</v>
      </c>
      <c r="F7" s="1"/>
      <c r="G7" s="2"/>
      <c r="H7" s="15" t="s">
        <v>7</v>
      </c>
      <c r="I7" s="13">
        <v>2400</v>
      </c>
      <c r="J7" s="1"/>
      <c r="K7" s="1"/>
      <c r="L7" s="1"/>
      <c r="M7" s="1"/>
    </row>
    <row r="8" spans="1:13" ht="14.25" customHeight="1" thickBot="1" x14ac:dyDescent="0.35">
      <c r="A8" s="1"/>
      <c r="B8" s="100" t="s">
        <v>8</v>
      </c>
      <c r="C8" s="101"/>
      <c r="D8" s="102"/>
      <c r="E8" s="17">
        <v>-100000</v>
      </c>
      <c r="F8" s="1"/>
      <c r="G8" s="2"/>
      <c r="H8" s="71" t="s">
        <v>9</v>
      </c>
      <c r="I8" s="13">
        <v>2900</v>
      </c>
      <c r="J8" s="1"/>
      <c r="K8" s="1"/>
      <c r="L8" s="1"/>
      <c r="M8" s="1"/>
    </row>
    <row r="9" spans="1:13" ht="14.25" customHeight="1" thickBot="1" x14ac:dyDescent="0.35">
      <c r="A9" s="1"/>
      <c r="B9" s="98" t="s">
        <v>10</v>
      </c>
      <c r="C9" s="99"/>
      <c r="D9" s="114"/>
      <c r="E9" s="19">
        <f>SUM(E6:E8)</f>
        <v>7775760.0000000019</v>
      </c>
      <c r="F9" s="1"/>
      <c r="G9" s="2"/>
      <c r="H9" s="1"/>
      <c r="I9" s="1"/>
      <c r="J9" s="1"/>
      <c r="K9" s="2"/>
      <c r="L9" s="1"/>
      <c r="M9" s="1"/>
    </row>
    <row r="10" spans="1:13" ht="14.25" customHeight="1" thickBo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14.25" customHeight="1" thickBot="1" x14ac:dyDescent="0.35">
      <c r="A11" s="1"/>
      <c r="B11" s="109" t="s">
        <v>36</v>
      </c>
      <c r="C11" s="99"/>
      <c r="D11" s="110"/>
      <c r="E11" s="4" t="s">
        <v>80</v>
      </c>
      <c r="F11" s="1"/>
      <c r="G11" s="1"/>
      <c r="H11" s="5" t="s">
        <v>1</v>
      </c>
      <c r="I11" s="5"/>
      <c r="J11" s="73"/>
      <c r="K11" s="73"/>
      <c r="L11" s="1"/>
      <c r="M11" s="1"/>
    </row>
    <row r="12" spans="1:13" ht="14.25" customHeight="1" x14ac:dyDescent="0.3">
      <c r="A12" s="1"/>
      <c r="B12" s="6" t="s">
        <v>2</v>
      </c>
      <c r="C12" s="7" t="s">
        <v>3</v>
      </c>
      <c r="D12" s="8" t="s">
        <v>4</v>
      </c>
      <c r="E12" s="9" t="s">
        <v>5</v>
      </c>
      <c r="F12" s="1"/>
      <c r="G12" s="1"/>
      <c r="H12" s="69">
        <v>45717</v>
      </c>
      <c r="I12" s="67">
        <v>11000</v>
      </c>
      <c r="J12" s="1"/>
      <c r="K12" s="45"/>
      <c r="L12" s="45"/>
      <c r="M12" s="45"/>
    </row>
    <row r="13" spans="1:13" ht="14.25" customHeight="1" x14ac:dyDescent="0.3">
      <c r="A13" s="1"/>
      <c r="B13" s="11" t="s">
        <v>12</v>
      </c>
      <c r="C13" s="12">
        <f>+'M2 EJECUTADOS '!E6</f>
        <v>1512.2000000000003</v>
      </c>
      <c r="D13" s="20">
        <v>20000</v>
      </c>
      <c r="E13" s="14">
        <f>C13*D13</f>
        <v>30244000.000000004</v>
      </c>
      <c r="F13" s="1"/>
      <c r="G13" s="1"/>
      <c r="H13" s="69">
        <v>45748</v>
      </c>
      <c r="I13" s="67">
        <v>12000</v>
      </c>
      <c r="J13" s="1"/>
      <c r="K13" s="70"/>
      <c r="L13" s="70"/>
      <c r="M13" s="70"/>
    </row>
    <row r="14" spans="1:13" ht="14.25" customHeight="1" x14ac:dyDescent="0.3">
      <c r="A14" s="1"/>
      <c r="B14" s="11" t="s">
        <v>82</v>
      </c>
      <c r="C14" s="63">
        <v>86.2</v>
      </c>
      <c r="D14" s="20">
        <v>20000</v>
      </c>
      <c r="E14" s="14">
        <f t="shared" ref="E14:E15" si="1">C14*D14</f>
        <v>1724000</v>
      </c>
      <c r="F14" s="1"/>
      <c r="G14" s="1"/>
      <c r="H14" s="69"/>
      <c r="I14" s="67"/>
      <c r="J14" s="1"/>
      <c r="K14" s="70"/>
      <c r="L14" s="70"/>
      <c r="M14" s="70"/>
    </row>
    <row r="15" spans="1:13" ht="14.25" customHeight="1" x14ac:dyDescent="0.3">
      <c r="A15" s="1"/>
      <c r="B15" s="11" t="s">
        <v>83</v>
      </c>
      <c r="C15" s="63">
        <v>46.16</v>
      </c>
      <c r="D15" s="20">
        <v>20000</v>
      </c>
      <c r="E15" s="14">
        <f t="shared" si="1"/>
        <v>923199.99999999988</v>
      </c>
      <c r="F15" s="1"/>
      <c r="G15" s="1"/>
      <c r="H15" s="69">
        <v>45870</v>
      </c>
      <c r="I15" s="67">
        <v>16000</v>
      </c>
      <c r="J15" s="1"/>
    </row>
    <row r="16" spans="1:13" ht="14.25" customHeight="1" x14ac:dyDescent="0.3">
      <c r="A16" s="1"/>
      <c r="B16" s="111" t="s">
        <v>13</v>
      </c>
      <c r="C16" s="112"/>
      <c r="D16" s="113"/>
      <c r="E16" s="21">
        <f>SUM(E13:E15)</f>
        <v>32891200.000000004</v>
      </c>
      <c r="F16" s="1"/>
      <c r="G16" s="1"/>
      <c r="H16" s="69">
        <v>46113</v>
      </c>
      <c r="I16" s="67">
        <v>20000</v>
      </c>
      <c r="J16" s="1" t="s">
        <v>61</v>
      </c>
      <c r="K16" s="45" t="s">
        <v>65</v>
      </c>
      <c r="L16" s="45" t="s">
        <v>66</v>
      </c>
      <c r="M16" s="74" t="s">
        <v>67</v>
      </c>
    </row>
    <row r="17" spans="1:19" ht="14.25" customHeight="1" x14ac:dyDescent="0.3">
      <c r="A17" s="1"/>
      <c r="B17" s="16" t="s">
        <v>14</v>
      </c>
      <c r="C17" s="22"/>
      <c r="D17" s="22"/>
      <c r="E17" s="17">
        <f>+'SA Descuento'!J5</f>
        <v>56400</v>
      </c>
      <c r="F17" s="1"/>
      <c r="G17" s="1"/>
      <c r="H17" s="69">
        <v>46143</v>
      </c>
      <c r="I17" s="67">
        <v>20000</v>
      </c>
      <c r="J17" s="1" t="s">
        <v>64</v>
      </c>
      <c r="K17" s="75">
        <v>745003</v>
      </c>
      <c r="L17" s="75">
        <v>500000</v>
      </c>
      <c r="M17" s="75">
        <f>+K17-L17</f>
        <v>245003</v>
      </c>
    </row>
    <row r="18" spans="1:19" ht="14.25" customHeight="1" x14ac:dyDescent="0.3">
      <c r="A18" s="1"/>
      <c r="B18" s="16" t="s">
        <v>81</v>
      </c>
      <c r="C18" s="22"/>
      <c r="D18" s="22"/>
      <c r="E18" s="17">
        <v>5000000</v>
      </c>
      <c r="F18" s="1"/>
      <c r="G18" s="1"/>
      <c r="H18" s="68"/>
      <c r="I18" s="67"/>
      <c r="J18" s="1"/>
    </row>
    <row r="19" spans="1:19" ht="14.25" customHeight="1" x14ac:dyDescent="0.3">
      <c r="A19" s="1"/>
      <c r="B19" s="16" t="s">
        <v>15</v>
      </c>
      <c r="C19" s="22"/>
      <c r="D19" s="22"/>
      <c r="E19" s="17">
        <v>245003</v>
      </c>
      <c r="F19" s="1"/>
      <c r="G19" s="1"/>
      <c r="H19" s="64"/>
      <c r="I19" s="64"/>
      <c r="J19" s="90" t="s">
        <v>293</v>
      </c>
    </row>
    <row r="20" spans="1:19" ht="14.25" customHeight="1" x14ac:dyDescent="0.3">
      <c r="A20" s="1"/>
      <c r="B20" s="80" t="s">
        <v>84</v>
      </c>
      <c r="C20" s="45">
        <v>34.5</v>
      </c>
      <c r="D20" s="45">
        <v>20000</v>
      </c>
      <c r="E20" s="81">
        <f>+D20*C20</f>
        <v>690000</v>
      </c>
      <c r="F20" s="1"/>
      <c r="G20" s="1"/>
      <c r="H20" s="64"/>
      <c r="I20" s="64"/>
    </row>
    <row r="21" spans="1:19" ht="14.25" customHeight="1" x14ac:dyDescent="0.3">
      <c r="A21" s="1"/>
      <c r="B21" s="100" t="s">
        <v>37</v>
      </c>
      <c r="C21" s="101"/>
      <c r="D21" s="102"/>
      <c r="E21" s="17">
        <f>+'S.A SUELDO DEPOSITADO'!R12</f>
        <v>8546494</v>
      </c>
      <c r="F21" s="1"/>
      <c r="G21" s="1"/>
      <c r="H21" s="64"/>
      <c r="I21" s="64"/>
      <c r="K21" s="1"/>
      <c r="L21" s="1"/>
    </row>
    <row r="22" spans="1:19" ht="14.25" customHeight="1" thickBot="1" x14ac:dyDescent="0.35">
      <c r="A22" s="1"/>
      <c r="B22" s="103" t="s">
        <v>16</v>
      </c>
      <c r="C22" s="104"/>
      <c r="D22" s="105"/>
      <c r="E22" s="21">
        <f>-SUM(E17:E21)</f>
        <v>-14537897</v>
      </c>
      <c r="F22" s="1"/>
      <c r="G22" s="1"/>
      <c r="H22" s="68"/>
      <c r="I22" s="68"/>
      <c r="J22" s="1"/>
      <c r="K22" s="1"/>
      <c r="L22" s="1"/>
    </row>
    <row r="23" spans="1:19" thickBot="1" x14ac:dyDescent="0.35">
      <c r="A23" s="1"/>
      <c r="B23" s="106" t="s">
        <v>10</v>
      </c>
      <c r="C23" s="107"/>
      <c r="D23" s="108"/>
      <c r="E23" s="58">
        <f>+E16+E22</f>
        <v>18353303.000000004</v>
      </c>
      <c r="F23" s="1"/>
      <c r="G23" s="1"/>
      <c r="H23" s="1"/>
      <c r="I23" s="1"/>
      <c r="J23" s="1"/>
      <c r="K23" s="1"/>
      <c r="L23" s="1"/>
      <c r="M23" s="1"/>
    </row>
    <row r="24" spans="1:19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9" thickBot="1" x14ac:dyDescent="0.35">
      <c r="A25" s="1"/>
      <c r="B25" s="109" t="s">
        <v>40</v>
      </c>
      <c r="C25" s="99"/>
      <c r="D25" s="110"/>
      <c r="E25" s="4" t="s">
        <v>80</v>
      </c>
      <c r="F25" s="1"/>
      <c r="G25" s="1"/>
      <c r="H25" s="5" t="s">
        <v>1</v>
      </c>
      <c r="I25" s="5"/>
      <c r="J25" s="73"/>
      <c r="K25" s="73"/>
      <c r="L25" s="1"/>
      <c r="M25" s="1"/>
    </row>
    <row r="26" spans="1:19" ht="14.4" x14ac:dyDescent="0.3">
      <c r="A26" s="1"/>
      <c r="B26" s="6" t="s">
        <v>2</v>
      </c>
      <c r="C26" s="7" t="s">
        <v>3</v>
      </c>
      <c r="D26" s="8" t="s">
        <v>4</v>
      </c>
      <c r="E26" s="9" t="s">
        <v>5</v>
      </c>
      <c r="F26" s="1"/>
      <c r="G26" s="1"/>
      <c r="H26" s="10" t="s">
        <v>39</v>
      </c>
      <c r="I26" s="10"/>
      <c r="J26" s="1"/>
      <c r="K26" s="1"/>
      <c r="L26" s="1"/>
      <c r="M26" s="1"/>
    </row>
    <row r="27" spans="1:19" ht="14.4" x14ac:dyDescent="0.3">
      <c r="A27" s="1"/>
      <c r="B27" s="11" t="s">
        <v>12</v>
      </c>
      <c r="C27" s="12">
        <f>+'M2 EJECUTADOS '!E7</f>
        <v>1766.3</v>
      </c>
      <c r="D27" s="20">
        <v>20000</v>
      </c>
      <c r="E27" s="14">
        <f>C27*D27</f>
        <v>35326000</v>
      </c>
      <c r="F27" s="1"/>
      <c r="G27" s="2"/>
      <c r="H27" s="18" t="s">
        <v>9</v>
      </c>
      <c r="I27" s="13">
        <v>20000</v>
      </c>
      <c r="J27" s="1"/>
      <c r="K27" s="1"/>
      <c r="L27" s="1"/>
      <c r="M27" s="1"/>
    </row>
    <row r="28" spans="1:19" ht="14.4" x14ac:dyDescent="0.3">
      <c r="A28" s="1"/>
      <c r="B28" s="77" t="s">
        <v>85</v>
      </c>
      <c r="C28" s="63">
        <v>34.5</v>
      </c>
      <c r="D28" s="20">
        <v>20000</v>
      </c>
      <c r="E28" s="14">
        <f>+D28*C28</f>
        <v>690000</v>
      </c>
      <c r="F28" s="1"/>
      <c r="G28" s="2"/>
      <c r="H28" s="78"/>
      <c r="I28" s="79"/>
      <c r="J28" s="1"/>
      <c r="K28" s="1"/>
      <c r="L28" s="1"/>
      <c r="M28" s="1"/>
    </row>
    <row r="29" spans="1:19" ht="14.4" x14ac:dyDescent="0.3">
      <c r="A29" s="1"/>
      <c r="B29" s="111" t="s">
        <v>13</v>
      </c>
      <c r="C29" s="112"/>
      <c r="D29" s="113"/>
      <c r="E29" s="21">
        <f>SUM(E27)</f>
        <v>35326000</v>
      </c>
      <c r="F29" s="1"/>
      <c r="G29" s="2"/>
      <c r="H29" s="1"/>
      <c r="I29" s="1"/>
      <c r="J29" s="1"/>
      <c r="K29" s="1"/>
      <c r="L29" s="1"/>
      <c r="M29" s="1"/>
    </row>
    <row r="30" spans="1:19" ht="14.4" x14ac:dyDescent="0.3">
      <c r="A30" s="1"/>
      <c r="B30" s="16" t="s">
        <v>42</v>
      </c>
      <c r="C30" s="22"/>
      <c r="D30" s="22"/>
      <c r="E30" s="17">
        <v>3600000</v>
      </c>
      <c r="F30" s="1"/>
      <c r="G30" s="2"/>
      <c r="H30" s="1"/>
      <c r="I30" s="1"/>
      <c r="J30" s="1"/>
      <c r="K30" s="1"/>
      <c r="L30" s="1"/>
      <c r="M30" s="1"/>
      <c r="S30" s="116"/>
    </row>
    <row r="31" spans="1:19" ht="14.4" x14ac:dyDescent="0.3">
      <c r="A31" s="1"/>
      <c r="B31" s="16" t="s">
        <v>15</v>
      </c>
      <c r="C31" s="22"/>
      <c r="D31" s="22"/>
      <c r="E31" s="17">
        <v>820000</v>
      </c>
      <c r="F31" s="1"/>
      <c r="G31" s="2"/>
      <c r="H31" s="1"/>
      <c r="I31" s="1"/>
      <c r="J31" s="1"/>
      <c r="K31" s="1"/>
      <c r="L31" s="1"/>
      <c r="M31" s="1"/>
    </row>
    <row r="32" spans="1:19" ht="14.4" x14ac:dyDescent="0.3">
      <c r="A32" s="1"/>
      <c r="B32" s="16" t="s">
        <v>14</v>
      </c>
      <c r="C32" s="22"/>
      <c r="D32" s="22"/>
      <c r="E32" s="17">
        <v>0</v>
      </c>
      <c r="F32" s="1"/>
      <c r="G32" s="2"/>
      <c r="H32" s="1"/>
      <c r="I32" s="1"/>
      <c r="J32" s="1"/>
      <c r="K32" s="1"/>
      <c r="L32" s="1"/>
      <c r="M32" s="1"/>
    </row>
    <row r="33" spans="1:13" ht="14.4" x14ac:dyDescent="0.3">
      <c r="A33" s="1"/>
      <c r="B33" s="16" t="s">
        <v>35</v>
      </c>
      <c r="C33" s="22"/>
      <c r="D33" s="22"/>
      <c r="E33" s="17">
        <v>0</v>
      </c>
      <c r="F33" s="1"/>
      <c r="G33" s="1"/>
      <c r="H33" s="1"/>
      <c r="I33" s="1"/>
      <c r="J33" s="1"/>
      <c r="K33" s="1"/>
      <c r="L33" s="1"/>
      <c r="M33" s="1"/>
    </row>
    <row r="34" spans="1:13" ht="14.25" customHeight="1" x14ac:dyDescent="0.3">
      <c r="A34" s="1"/>
      <c r="B34" s="100" t="s">
        <v>37</v>
      </c>
      <c r="C34" s="101"/>
      <c r="D34" s="102"/>
      <c r="E34" s="17">
        <f>+'SC. SUELDOS DEPOSITADOS'!R11</f>
        <v>8372262</v>
      </c>
      <c r="F34" s="1"/>
      <c r="G34" s="1"/>
      <c r="H34" s="1"/>
      <c r="I34" s="1"/>
      <c r="J34" s="54"/>
      <c r="K34" s="1"/>
      <c r="L34" s="1"/>
      <c r="M34" s="1"/>
    </row>
    <row r="35" spans="1:13" ht="14.25" customHeight="1" thickBot="1" x14ac:dyDescent="0.35">
      <c r="A35" s="1"/>
      <c r="B35" s="95" t="s">
        <v>16</v>
      </c>
      <c r="C35" s="96"/>
      <c r="D35" s="97"/>
      <c r="E35" s="57">
        <f>-SUM(E30:E34)</f>
        <v>-12792262</v>
      </c>
      <c r="F35" s="1"/>
      <c r="G35" s="1"/>
      <c r="H35" s="1"/>
      <c r="I35" s="1"/>
      <c r="J35" s="1"/>
      <c r="K35" s="1"/>
      <c r="L35" s="1"/>
      <c r="M35" s="1"/>
    </row>
    <row r="36" spans="1:13" ht="14.25" customHeight="1" thickBot="1" x14ac:dyDescent="0.35">
      <c r="A36" s="1"/>
      <c r="B36" s="98" t="s">
        <v>10</v>
      </c>
      <c r="C36" s="99"/>
      <c r="D36" s="99"/>
      <c r="E36" s="19">
        <f>+E29+E35</f>
        <v>22533738</v>
      </c>
      <c r="F36" s="1"/>
      <c r="G36" s="1"/>
      <c r="H36" s="1"/>
      <c r="I36" s="1"/>
      <c r="J36" s="1"/>
      <c r="K36" s="1"/>
      <c r="L36" s="1"/>
      <c r="M36" s="1"/>
    </row>
  </sheetData>
  <mergeCells count="13">
    <mergeCell ref="B21:D21"/>
    <mergeCell ref="B4:D4"/>
    <mergeCell ref="B8:D8"/>
    <mergeCell ref="B9:D9"/>
    <mergeCell ref="B11:D11"/>
    <mergeCell ref="B16:D16"/>
    <mergeCell ref="B35:D35"/>
    <mergeCell ref="B36:D36"/>
    <mergeCell ref="B34:D34"/>
    <mergeCell ref="B22:D22"/>
    <mergeCell ref="B23:D23"/>
    <mergeCell ref="B25:D25"/>
    <mergeCell ref="B29:D29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7"/>
  <sheetViews>
    <sheetView workbookViewId="0">
      <selection activeCell="F20" sqref="F20"/>
    </sheetView>
  </sheetViews>
  <sheetFormatPr baseColWidth="10" defaultRowHeight="14.4" x14ac:dyDescent="0.3"/>
  <cols>
    <col min="1" max="1" width="6.5546875" bestFit="1" customWidth="1"/>
    <col min="2" max="2" width="19" bestFit="1" customWidth="1"/>
    <col min="3" max="3" width="20" bestFit="1" customWidth="1"/>
    <col min="4" max="4" width="13.33203125" bestFit="1" customWidth="1"/>
    <col min="5" max="5" width="8.5546875" bestFit="1" customWidth="1"/>
    <col min="6" max="7" width="14.88671875" bestFit="1" customWidth="1"/>
    <col min="8" max="8" width="16.6640625" bestFit="1" customWidth="1"/>
    <col min="9" max="9" width="19.109375" bestFit="1" customWidth="1"/>
    <col min="10" max="11" width="10.5546875" bestFit="1" customWidth="1"/>
    <col min="12" max="12" width="20" bestFit="1" customWidth="1"/>
    <col min="13" max="13" width="13" bestFit="1" customWidth="1"/>
    <col min="14" max="15" width="14.5546875" bestFit="1" customWidth="1"/>
    <col min="16" max="16" width="6.5546875" bestFit="1" customWidth="1"/>
    <col min="17" max="17" width="14.44140625" bestFit="1" customWidth="1"/>
    <col min="18" max="18" width="13" bestFit="1" customWidth="1"/>
  </cols>
  <sheetData>
    <row r="1" spans="1:18" s="53" customFormat="1" x14ac:dyDescent="0.3">
      <c r="A1" s="65" t="s">
        <v>43</v>
      </c>
      <c r="B1" s="65" t="s">
        <v>44</v>
      </c>
      <c r="C1" s="65" t="s">
        <v>45</v>
      </c>
      <c r="D1" s="65" t="s">
        <v>46</v>
      </c>
      <c r="E1" s="65" t="s">
        <v>47</v>
      </c>
      <c r="F1" s="65" t="s">
        <v>48</v>
      </c>
      <c r="G1" s="65" t="s">
        <v>49</v>
      </c>
      <c r="H1" s="65" t="s">
        <v>50</v>
      </c>
      <c r="I1" s="65" t="s">
        <v>51</v>
      </c>
      <c r="J1" s="65" t="s">
        <v>52</v>
      </c>
      <c r="K1" s="65" t="s">
        <v>53</v>
      </c>
      <c r="L1" s="65" t="s">
        <v>30</v>
      </c>
      <c r="M1" s="66" t="s">
        <v>57</v>
      </c>
      <c r="N1" s="66" t="s">
        <v>54</v>
      </c>
      <c r="O1" s="66" t="s">
        <v>55</v>
      </c>
      <c r="P1" s="66" t="s">
        <v>59</v>
      </c>
      <c r="Q1" s="66" t="s">
        <v>56</v>
      </c>
      <c r="R1" s="66" t="s">
        <v>60</v>
      </c>
    </row>
    <row r="2" spans="1:18" x14ac:dyDescent="0.3">
      <c r="A2" s="64">
        <v>5037</v>
      </c>
      <c r="B2" s="64" t="s">
        <v>130</v>
      </c>
      <c r="C2" s="64" t="s">
        <v>184</v>
      </c>
      <c r="D2" s="64" t="s">
        <v>185</v>
      </c>
      <c r="E2" s="64" t="s">
        <v>121</v>
      </c>
      <c r="F2" s="64" t="s">
        <v>122</v>
      </c>
      <c r="G2" s="64"/>
      <c r="H2" s="64" t="s">
        <v>123</v>
      </c>
      <c r="I2" s="64" t="s">
        <v>41</v>
      </c>
      <c r="J2" s="84">
        <v>45736</v>
      </c>
      <c r="K2" s="64"/>
      <c r="L2" s="64" t="s">
        <v>125</v>
      </c>
      <c r="M2" s="85"/>
      <c r="N2" s="85">
        <v>644080</v>
      </c>
      <c r="O2" s="85">
        <v>486695</v>
      </c>
      <c r="P2" s="85">
        <v>553109</v>
      </c>
      <c r="Q2" s="85"/>
      <c r="R2" s="85"/>
    </row>
    <row r="3" spans="1:18" x14ac:dyDescent="0.3">
      <c r="A3" s="64">
        <v>5081</v>
      </c>
      <c r="B3" s="64" t="s">
        <v>186</v>
      </c>
      <c r="C3" s="64" t="s">
        <v>187</v>
      </c>
      <c r="D3" s="64" t="s">
        <v>188</v>
      </c>
      <c r="E3" s="64" t="s">
        <v>121</v>
      </c>
      <c r="F3" s="64" t="s">
        <v>122</v>
      </c>
      <c r="G3" s="64"/>
      <c r="H3" s="64" t="s">
        <v>123</v>
      </c>
      <c r="I3" s="64" t="s">
        <v>41</v>
      </c>
      <c r="J3" s="84">
        <v>45750</v>
      </c>
      <c r="K3" s="64"/>
      <c r="L3" s="64" t="s">
        <v>125</v>
      </c>
      <c r="M3" s="85"/>
      <c r="N3" s="85">
        <v>644080</v>
      </c>
      <c r="O3" s="85">
        <v>464585</v>
      </c>
      <c r="P3" s="85">
        <v>553109</v>
      </c>
      <c r="Q3" s="85"/>
      <c r="R3" s="85"/>
    </row>
    <row r="4" spans="1:18" x14ac:dyDescent="0.3">
      <c r="A4" s="64">
        <v>5273</v>
      </c>
      <c r="B4" s="64" t="s">
        <v>189</v>
      </c>
      <c r="C4" s="64" t="s">
        <v>190</v>
      </c>
      <c r="D4" s="64" t="s">
        <v>191</v>
      </c>
      <c r="E4" s="64" t="s">
        <v>121</v>
      </c>
      <c r="F4" s="64" t="s">
        <v>122</v>
      </c>
      <c r="G4" s="64"/>
      <c r="H4" s="64" t="s">
        <v>123</v>
      </c>
      <c r="I4" s="64" t="s">
        <v>41</v>
      </c>
      <c r="J4" s="84">
        <v>45817</v>
      </c>
      <c r="K4" s="64"/>
      <c r="L4" s="64" t="s">
        <v>125</v>
      </c>
      <c r="M4" s="85"/>
      <c r="N4" s="85">
        <v>644080</v>
      </c>
      <c r="O4" s="85">
        <v>652373</v>
      </c>
      <c r="P4" s="85">
        <v>553109</v>
      </c>
      <c r="Q4" s="85"/>
      <c r="R4" s="85"/>
    </row>
    <row r="5" spans="1:18" x14ac:dyDescent="0.3">
      <c r="A5" s="64">
        <v>5393</v>
      </c>
      <c r="B5" s="64" t="s">
        <v>192</v>
      </c>
      <c r="C5" s="64" t="s">
        <v>193</v>
      </c>
      <c r="D5" s="64" t="s">
        <v>194</v>
      </c>
      <c r="E5" s="64" t="s">
        <v>121</v>
      </c>
      <c r="F5" s="64" t="s">
        <v>122</v>
      </c>
      <c r="G5" s="64"/>
      <c r="H5" s="64" t="s">
        <v>123</v>
      </c>
      <c r="I5" s="64" t="s">
        <v>41</v>
      </c>
      <c r="J5" s="84">
        <v>45860</v>
      </c>
      <c r="K5" s="64"/>
      <c r="L5" s="64" t="s">
        <v>125</v>
      </c>
      <c r="M5" s="85"/>
      <c r="N5" s="85">
        <v>644080</v>
      </c>
      <c r="O5" s="85">
        <v>652373</v>
      </c>
      <c r="P5" s="85">
        <v>553109</v>
      </c>
      <c r="Q5" s="85"/>
      <c r="R5" s="85"/>
    </row>
    <row r="6" spans="1:18" x14ac:dyDescent="0.3">
      <c r="A6" s="64">
        <v>5433</v>
      </c>
      <c r="B6" s="64" t="s">
        <v>195</v>
      </c>
      <c r="C6" s="64" t="s">
        <v>196</v>
      </c>
      <c r="D6" s="64" t="s">
        <v>197</v>
      </c>
      <c r="E6" s="64" t="s">
        <v>121</v>
      </c>
      <c r="F6" s="64" t="s">
        <v>122</v>
      </c>
      <c r="G6" s="64"/>
      <c r="H6" s="64" t="s">
        <v>123</v>
      </c>
      <c r="I6" s="64" t="s">
        <v>41</v>
      </c>
      <c r="J6" s="84">
        <v>45870</v>
      </c>
      <c r="K6" s="64"/>
      <c r="L6" s="64" t="s">
        <v>125</v>
      </c>
      <c r="M6" s="85"/>
      <c r="N6" s="85">
        <v>644080</v>
      </c>
      <c r="O6" s="85">
        <v>530914</v>
      </c>
      <c r="P6" s="85">
        <v>553109</v>
      </c>
      <c r="Q6" s="85"/>
      <c r="R6" s="85"/>
    </row>
    <row r="7" spans="1:18" x14ac:dyDescent="0.3">
      <c r="A7" s="64">
        <v>5601</v>
      </c>
      <c r="B7" s="64" t="s">
        <v>198</v>
      </c>
      <c r="C7" s="64" t="s">
        <v>199</v>
      </c>
      <c r="D7" s="64" t="s">
        <v>200</v>
      </c>
      <c r="E7" s="64" t="s">
        <v>121</v>
      </c>
      <c r="F7" s="64" t="s">
        <v>122</v>
      </c>
      <c r="G7" s="64"/>
      <c r="H7" s="64" t="s">
        <v>123</v>
      </c>
      <c r="I7" s="64" t="s">
        <v>41</v>
      </c>
      <c r="J7" s="84">
        <v>45947</v>
      </c>
      <c r="K7" s="64"/>
      <c r="L7" s="64" t="s">
        <v>139</v>
      </c>
      <c r="M7" s="85"/>
      <c r="N7" s="85">
        <v>553043</v>
      </c>
      <c r="O7" s="85">
        <v>557593</v>
      </c>
      <c r="P7" s="85">
        <v>473147</v>
      </c>
      <c r="Q7" s="85"/>
      <c r="R7" s="85"/>
    </row>
    <row r="8" spans="1:18" x14ac:dyDescent="0.3">
      <c r="A8" s="64">
        <v>5982</v>
      </c>
      <c r="B8" s="64" t="s">
        <v>198</v>
      </c>
      <c r="C8" s="64" t="s">
        <v>201</v>
      </c>
      <c r="D8" s="64" t="s">
        <v>202</v>
      </c>
      <c r="E8" s="64" t="s">
        <v>121</v>
      </c>
      <c r="F8" s="64" t="s">
        <v>122</v>
      </c>
      <c r="G8" s="64" t="s">
        <v>122</v>
      </c>
      <c r="H8" s="64" t="s">
        <v>123</v>
      </c>
      <c r="I8" s="64" t="s">
        <v>41</v>
      </c>
      <c r="J8" s="84">
        <v>45980</v>
      </c>
      <c r="K8" s="64"/>
      <c r="L8" s="64" t="s">
        <v>139</v>
      </c>
      <c r="M8" s="85"/>
      <c r="N8" s="85">
        <v>553043</v>
      </c>
      <c r="O8" s="85">
        <v>557593</v>
      </c>
      <c r="P8" s="85">
        <v>473147</v>
      </c>
      <c r="Q8" s="85"/>
      <c r="R8" s="85"/>
    </row>
    <row r="9" spans="1:18" x14ac:dyDescent="0.3">
      <c r="A9" s="64">
        <v>5983</v>
      </c>
      <c r="B9" s="64" t="s">
        <v>203</v>
      </c>
      <c r="C9" s="64" t="s">
        <v>204</v>
      </c>
      <c r="D9" s="64" t="s">
        <v>205</v>
      </c>
      <c r="E9" s="64" t="s">
        <v>121</v>
      </c>
      <c r="F9" s="64" t="s">
        <v>122</v>
      </c>
      <c r="G9" s="64" t="s">
        <v>122</v>
      </c>
      <c r="H9" s="64" t="s">
        <v>123</v>
      </c>
      <c r="I9" s="64" t="s">
        <v>41</v>
      </c>
      <c r="J9" s="84">
        <v>45980</v>
      </c>
      <c r="K9" s="64"/>
      <c r="L9" s="64" t="s">
        <v>125</v>
      </c>
      <c r="M9" s="85"/>
      <c r="N9" s="85">
        <v>644080</v>
      </c>
      <c r="O9" s="85">
        <v>652373</v>
      </c>
      <c r="P9" s="85">
        <v>553109</v>
      </c>
      <c r="Q9" s="85"/>
      <c r="R9" s="85"/>
    </row>
    <row r="10" spans="1:18" x14ac:dyDescent="0.3">
      <c r="A10" s="64">
        <v>6115</v>
      </c>
      <c r="B10" s="64" t="s">
        <v>198</v>
      </c>
      <c r="C10" s="64" t="s">
        <v>206</v>
      </c>
      <c r="D10" s="64" t="s">
        <v>207</v>
      </c>
      <c r="E10" s="64" t="s">
        <v>121</v>
      </c>
      <c r="F10" s="64" t="s">
        <v>122</v>
      </c>
      <c r="G10" s="64"/>
      <c r="H10" s="64" t="s">
        <v>123</v>
      </c>
      <c r="I10" s="64" t="s">
        <v>41</v>
      </c>
      <c r="J10" s="84">
        <v>46059</v>
      </c>
      <c r="K10" s="64"/>
      <c r="L10" s="64" t="s">
        <v>139</v>
      </c>
      <c r="M10" s="85"/>
      <c r="N10" s="85">
        <v>553043</v>
      </c>
      <c r="O10" s="85">
        <v>557593</v>
      </c>
      <c r="P10" s="85">
        <v>379040</v>
      </c>
      <c r="Q10" s="85"/>
      <c r="R10" s="85"/>
    </row>
    <row r="11" spans="1:18" x14ac:dyDescent="0.3">
      <c r="A11" s="64">
        <v>6116</v>
      </c>
      <c r="B11" s="64" t="s">
        <v>198</v>
      </c>
      <c r="C11" s="64" t="s">
        <v>208</v>
      </c>
      <c r="D11" s="64" t="s">
        <v>209</v>
      </c>
      <c r="E11" s="64" t="s">
        <v>121</v>
      </c>
      <c r="F11" s="64" t="s">
        <v>122</v>
      </c>
      <c r="G11" s="64"/>
      <c r="H11" s="64" t="s">
        <v>123</v>
      </c>
      <c r="I11" s="64" t="s">
        <v>41</v>
      </c>
      <c r="J11" s="84">
        <v>46059</v>
      </c>
      <c r="K11" s="64"/>
      <c r="L11" s="64" t="s">
        <v>139</v>
      </c>
      <c r="M11" s="85"/>
      <c r="N11" s="85">
        <v>433843</v>
      </c>
      <c r="O11" s="85">
        <v>557593</v>
      </c>
      <c r="P11" s="85">
        <v>379040</v>
      </c>
      <c r="Q11" s="85"/>
      <c r="R11" s="85"/>
    </row>
    <row r="12" spans="1:18" x14ac:dyDescent="0.3">
      <c r="A12" s="64">
        <v>6127</v>
      </c>
      <c r="B12" s="64" t="s">
        <v>130</v>
      </c>
      <c r="C12" s="64" t="s">
        <v>210</v>
      </c>
      <c r="D12" s="64" t="s">
        <v>211</v>
      </c>
      <c r="E12" s="64" t="s">
        <v>121</v>
      </c>
      <c r="F12" s="64" t="s">
        <v>122</v>
      </c>
      <c r="G12" s="64"/>
      <c r="H12" s="64" t="s">
        <v>123</v>
      </c>
      <c r="I12" s="64" t="s">
        <v>41</v>
      </c>
      <c r="J12" s="84">
        <v>46076</v>
      </c>
      <c r="K12" s="64"/>
      <c r="L12" s="64" t="s">
        <v>125</v>
      </c>
      <c r="M12" s="85"/>
      <c r="N12" s="85">
        <v>644080</v>
      </c>
      <c r="O12" s="85">
        <v>652373</v>
      </c>
      <c r="P12" s="85">
        <v>391149</v>
      </c>
      <c r="Q12" s="85"/>
      <c r="R12" s="85"/>
    </row>
    <row r="13" spans="1:18" x14ac:dyDescent="0.3">
      <c r="A13" s="64">
        <v>6128</v>
      </c>
      <c r="B13" s="64" t="s">
        <v>130</v>
      </c>
      <c r="C13" s="64" t="s">
        <v>212</v>
      </c>
      <c r="D13" s="64" t="s">
        <v>213</v>
      </c>
      <c r="E13" s="64" t="s">
        <v>121</v>
      </c>
      <c r="F13" s="64" t="s">
        <v>122</v>
      </c>
      <c r="G13" s="64"/>
      <c r="H13" s="64" t="s">
        <v>123</v>
      </c>
      <c r="I13" s="64" t="s">
        <v>41</v>
      </c>
      <c r="J13" s="84">
        <v>46076</v>
      </c>
      <c r="K13" s="64"/>
      <c r="L13" s="64" t="s">
        <v>125</v>
      </c>
      <c r="M13" s="85"/>
      <c r="N13" s="85">
        <v>644080</v>
      </c>
      <c r="O13" s="85">
        <v>652373</v>
      </c>
      <c r="P13" s="85">
        <v>391149</v>
      </c>
      <c r="Q13" s="85"/>
      <c r="R13" s="85"/>
    </row>
    <row r="14" spans="1:18" x14ac:dyDescent="0.3">
      <c r="A14" s="64">
        <v>6129</v>
      </c>
      <c r="B14" s="64" t="s">
        <v>130</v>
      </c>
      <c r="C14" s="64" t="s">
        <v>214</v>
      </c>
      <c r="D14" s="64" t="s">
        <v>215</v>
      </c>
      <c r="E14" s="64" t="s">
        <v>121</v>
      </c>
      <c r="F14" s="64" t="s">
        <v>122</v>
      </c>
      <c r="G14" s="64"/>
      <c r="H14" s="64" t="s">
        <v>123</v>
      </c>
      <c r="I14" s="64" t="s">
        <v>41</v>
      </c>
      <c r="J14" s="84">
        <v>46076</v>
      </c>
      <c r="K14" s="64"/>
      <c r="L14" s="64" t="s">
        <v>125</v>
      </c>
      <c r="M14" s="85"/>
      <c r="N14" s="85">
        <v>644080</v>
      </c>
      <c r="O14" s="85">
        <v>508804</v>
      </c>
      <c r="P14" s="85">
        <v>391149</v>
      </c>
      <c r="Q14" s="85"/>
      <c r="R14" s="85"/>
    </row>
    <row r="15" spans="1:18" x14ac:dyDescent="0.3">
      <c r="A15" s="64">
        <v>6234</v>
      </c>
      <c r="B15" s="64" t="s">
        <v>216</v>
      </c>
      <c r="C15" s="64" t="s">
        <v>217</v>
      </c>
      <c r="D15" s="64" t="s">
        <v>218</v>
      </c>
      <c r="E15" s="64" t="s">
        <v>121</v>
      </c>
      <c r="F15" s="64" t="s">
        <v>122</v>
      </c>
      <c r="G15" s="64"/>
      <c r="H15" s="64" t="s">
        <v>123</v>
      </c>
      <c r="I15" s="64" t="s">
        <v>41</v>
      </c>
      <c r="J15" s="84">
        <v>46139</v>
      </c>
      <c r="K15" s="64"/>
      <c r="L15" s="64" t="s">
        <v>125</v>
      </c>
      <c r="M15" s="85"/>
      <c r="N15" s="85">
        <v>501897</v>
      </c>
      <c r="O15" s="85">
        <v>505738</v>
      </c>
      <c r="P15" s="85">
        <v>152129</v>
      </c>
      <c r="Q15" s="85"/>
      <c r="R15" s="85"/>
    </row>
    <row r="16" spans="1:18" x14ac:dyDescent="0.3">
      <c r="A16" s="64">
        <v>6235</v>
      </c>
      <c r="B16" s="64" t="s">
        <v>219</v>
      </c>
      <c r="C16" s="64" t="s">
        <v>220</v>
      </c>
      <c r="D16" s="64" t="s">
        <v>221</v>
      </c>
      <c r="E16" s="64" t="s">
        <v>121</v>
      </c>
      <c r="F16" s="64" t="s">
        <v>122</v>
      </c>
      <c r="G16" s="64"/>
      <c r="H16" s="64" t="s">
        <v>123</v>
      </c>
      <c r="I16" s="64" t="s">
        <v>41</v>
      </c>
      <c r="J16" s="84">
        <v>46139</v>
      </c>
      <c r="K16" s="64"/>
      <c r="L16" s="64" t="s">
        <v>125</v>
      </c>
      <c r="M16" s="85"/>
      <c r="N16" s="85">
        <v>644080</v>
      </c>
      <c r="O16" s="85">
        <v>530914</v>
      </c>
      <c r="P16" s="85">
        <v>197927</v>
      </c>
      <c r="Q16" s="85"/>
      <c r="R16" s="85"/>
    </row>
    <row r="17" spans="1:18" x14ac:dyDescent="0.3">
      <c r="A17" s="64">
        <v>6244</v>
      </c>
      <c r="B17" s="64" t="s">
        <v>222</v>
      </c>
      <c r="C17" s="64" t="s">
        <v>223</v>
      </c>
      <c r="D17" s="64" t="s">
        <v>224</v>
      </c>
      <c r="E17" s="64" t="s">
        <v>121</v>
      </c>
      <c r="F17" s="64" t="s">
        <v>122</v>
      </c>
      <c r="G17" s="64"/>
      <c r="H17" s="64" t="s">
        <v>123</v>
      </c>
      <c r="I17" s="64" t="s">
        <v>41</v>
      </c>
      <c r="J17" s="84">
        <v>46150</v>
      </c>
      <c r="K17" s="64"/>
      <c r="L17" s="64" t="s">
        <v>139</v>
      </c>
      <c r="M17" s="85"/>
      <c r="N17" s="85">
        <v>549804</v>
      </c>
      <c r="O17" s="85">
        <v>432074</v>
      </c>
      <c r="P17" s="85">
        <v>98570</v>
      </c>
      <c r="Q17" s="85"/>
      <c r="R17" s="85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3"/>
  <sheetViews>
    <sheetView topLeftCell="L1" workbookViewId="0">
      <selection activeCell="R12" sqref="R12"/>
    </sheetView>
  </sheetViews>
  <sheetFormatPr baseColWidth="10" defaultRowHeight="14.4" x14ac:dyDescent="0.3"/>
  <cols>
    <col min="1" max="1" width="6.5546875" bestFit="1" customWidth="1"/>
    <col min="2" max="2" width="17.77734375" bestFit="1" customWidth="1"/>
    <col min="3" max="3" width="17" bestFit="1" customWidth="1"/>
    <col min="4" max="4" width="13.33203125" bestFit="1" customWidth="1"/>
    <col min="5" max="5" width="8.5546875" bestFit="1" customWidth="1"/>
    <col min="6" max="6" width="14.88671875" bestFit="1" customWidth="1"/>
    <col min="7" max="7" width="7.5546875" bestFit="1" customWidth="1"/>
    <col min="8" max="8" width="16.6640625" bestFit="1" customWidth="1"/>
    <col min="9" max="9" width="13.21875" bestFit="1" customWidth="1"/>
    <col min="10" max="10" width="10.5546875" bestFit="1" customWidth="1"/>
    <col min="11" max="11" width="6.5546875" bestFit="1" customWidth="1"/>
    <col min="12" max="12" width="20" bestFit="1" customWidth="1"/>
    <col min="13" max="13" width="14.33203125" bestFit="1" customWidth="1"/>
    <col min="14" max="15" width="14.33203125" customWidth="1"/>
    <col min="16" max="16" width="12.88671875" bestFit="1" customWidth="1"/>
    <col min="17" max="17" width="14.44140625" bestFit="1" customWidth="1"/>
    <col min="18" max="18" width="15.44140625" bestFit="1" customWidth="1"/>
  </cols>
  <sheetData>
    <row r="1" spans="1:19" s="53" customFormat="1" x14ac:dyDescent="0.3">
      <c r="A1" s="65" t="s">
        <v>43</v>
      </c>
      <c r="B1" s="65" t="s">
        <v>44</v>
      </c>
      <c r="C1" s="65" t="s">
        <v>45</v>
      </c>
      <c r="D1" s="65" t="s">
        <v>46</v>
      </c>
      <c r="E1" s="65" t="s">
        <v>47</v>
      </c>
      <c r="F1" s="65" t="s">
        <v>48</v>
      </c>
      <c r="G1" s="65" t="s">
        <v>49</v>
      </c>
      <c r="H1" s="65" t="s">
        <v>50</v>
      </c>
      <c r="I1" s="65" t="s">
        <v>51</v>
      </c>
      <c r="J1" s="65" t="s">
        <v>52</v>
      </c>
      <c r="K1" s="65" t="s">
        <v>53</v>
      </c>
      <c r="L1" s="65" t="s">
        <v>30</v>
      </c>
      <c r="M1" s="66" t="s">
        <v>57</v>
      </c>
      <c r="N1" s="66" t="s">
        <v>54</v>
      </c>
      <c r="O1" s="66" t="s">
        <v>55</v>
      </c>
      <c r="P1" s="66" t="s">
        <v>59</v>
      </c>
      <c r="Q1" s="66" t="s">
        <v>56</v>
      </c>
      <c r="R1" s="66" t="s">
        <v>60</v>
      </c>
    </row>
    <row r="2" spans="1:19" s="94" customFormat="1" x14ac:dyDescent="0.3">
      <c r="A2" s="91">
        <v>1705</v>
      </c>
      <c r="B2" s="91" t="s">
        <v>153</v>
      </c>
      <c r="C2" s="91" t="s">
        <v>154</v>
      </c>
      <c r="D2" s="91" t="s">
        <v>155</v>
      </c>
      <c r="E2" s="91" t="s">
        <v>121</v>
      </c>
      <c r="F2" s="91" t="s">
        <v>122</v>
      </c>
      <c r="G2" s="91"/>
      <c r="H2" s="91" t="s">
        <v>123</v>
      </c>
      <c r="I2" s="91" t="s">
        <v>36</v>
      </c>
      <c r="J2" s="92">
        <v>44630</v>
      </c>
      <c r="K2" s="91"/>
      <c r="L2" s="91" t="s">
        <v>139</v>
      </c>
      <c r="M2" s="93"/>
      <c r="N2" s="93">
        <v>549804</v>
      </c>
      <c r="O2" s="93">
        <v>554216</v>
      </c>
      <c r="P2" s="93">
        <v>490095</v>
      </c>
      <c r="Q2" s="93"/>
      <c r="R2" s="93"/>
      <c r="S2" s="52"/>
    </row>
    <row r="3" spans="1:19" x14ac:dyDescent="0.3">
      <c r="A3" s="64">
        <v>1708</v>
      </c>
      <c r="B3" s="64" t="s">
        <v>156</v>
      </c>
      <c r="C3" s="64" t="s">
        <v>157</v>
      </c>
      <c r="D3" s="64" t="s">
        <v>158</v>
      </c>
      <c r="E3" s="64" t="s">
        <v>121</v>
      </c>
      <c r="F3" s="64" t="s">
        <v>122</v>
      </c>
      <c r="G3" s="64"/>
      <c r="H3" s="64" t="s">
        <v>123</v>
      </c>
      <c r="I3" s="64" t="s">
        <v>36</v>
      </c>
      <c r="J3" s="84">
        <v>44630</v>
      </c>
      <c r="K3" s="64"/>
      <c r="L3" s="64" t="s">
        <v>139</v>
      </c>
      <c r="M3" s="85"/>
      <c r="N3" s="85">
        <v>549804</v>
      </c>
      <c r="O3" s="85">
        <v>554216</v>
      </c>
      <c r="P3" s="85">
        <v>490095</v>
      </c>
      <c r="Q3" s="85"/>
      <c r="R3" s="85"/>
      <c r="S3" s="86"/>
    </row>
    <row r="4" spans="1:19" x14ac:dyDescent="0.3">
      <c r="A4" s="64">
        <v>2348</v>
      </c>
      <c r="B4" s="64" t="s">
        <v>159</v>
      </c>
      <c r="C4" s="64" t="s">
        <v>160</v>
      </c>
      <c r="D4" s="64" t="s">
        <v>161</v>
      </c>
      <c r="E4" s="64" t="s">
        <v>121</v>
      </c>
      <c r="F4" s="64" t="s">
        <v>122</v>
      </c>
      <c r="G4" s="64"/>
      <c r="H4" s="64" t="s">
        <v>123</v>
      </c>
      <c r="I4" s="64" t="s">
        <v>36</v>
      </c>
      <c r="J4" s="84">
        <v>45030</v>
      </c>
      <c r="K4" s="64"/>
      <c r="L4" s="64" t="s">
        <v>125</v>
      </c>
      <c r="M4" s="85"/>
      <c r="N4" s="85">
        <v>640293</v>
      </c>
      <c r="O4" s="85">
        <v>648427</v>
      </c>
      <c r="P4" s="85">
        <v>572921</v>
      </c>
      <c r="Q4" s="85"/>
      <c r="R4" s="85"/>
      <c r="S4" s="86"/>
    </row>
    <row r="5" spans="1:19" s="94" customFormat="1" x14ac:dyDescent="0.3">
      <c r="A5" s="91">
        <v>4888</v>
      </c>
      <c r="B5" s="91" t="s">
        <v>162</v>
      </c>
      <c r="C5" s="91" t="s">
        <v>163</v>
      </c>
      <c r="D5" s="91" t="s">
        <v>164</v>
      </c>
      <c r="E5" s="91" t="s">
        <v>121</v>
      </c>
      <c r="F5" s="91" t="s">
        <v>122</v>
      </c>
      <c r="G5" s="91"/>
      <c r="H5" s="91" t="s">
        <v>123</v>
      </c>
      <c r="I5" s="91" t="s">
        <v>36</v>
      </c>
      <c r="J5" s="92">
        <v>45705</v>
      </c>
      <c r="K5" s="91"/>
      <c r="L5" s="91" t="s">
        <v>139</v>
      </c>
      <c r="M5" s="93"/>
      <c r="N5" s="93">
        <v>553043</v>
      </c>
      <c r="O5" s="93">
        <v>418194</v>
      </c>
      <c r="P5" s="93">
        <v>471527</v>
      </c>
      <c r="Q5" s="93"/>
      <c r="R5" s="93"/>
      <c r="S5" s="52"/>
    </row>
    <row r="6" spans="1:19" x14ac:dyDescent="0.3">
      <c r="A6" s="64">
        <v>4903</v>
      </c>
      <c r="B6" s="64" t="s">
        <v>165</v>
      </c>
      <c r="C6" s="64" t="s">
        <v>166</v>
      </c>
      <c r="D6" s="64" t="s">
        <v>167</v>
      </c>
      <c r="E6" s="64" t="s">
        <v>121</v>
      </c>
      <c r="F6" s="64" t="s">
        <v>122</v>
      </c>
      <c r="G6" s="64"/>
      <c r="H6" s="64" t="s">
        <v>123</v>
      </c>
      <c r="I6" s="64" t="s">
        <v>36</v>
      </c>
      <c r="J6" s="84">
        <v>45708</v>
      </c>
      <c r="K6" s="64"/>
      <c r="L6" s="64" t="s">
        <v>139</v>
      </c>
      <c r="M6" s="85"/>
      <c r="N6" s="85">
        <v>549804</v>
      </c>
      <c r="O6" s="85">
        <v>554216</v>
      </c>
      <c r="P6" s="85">
        <v>468617</v>
      </c>
      <c r="Q6" s="85"/>
      <c r="R6" s="85"/>
      <c r="S6" s="86"/>
    </row>
    <row r="7" spans="1:19" s="94" customFormat="1" x14ac:dyDescent="0.3">
      <c r="A7" s="91">
        <v>5376</v>
      </c>
      <c r="B7" s="91" t="s">
        <v>168</v>
      </c>
      <c r="C7" s="91" t="s">
        <v>169</v>
      </c>
      <c r="D7" s="91" t="s">
        <v>170</v>
      </c>
      <c r="E7" s="91" t="s">
        <v>121</v>
      </c>
      <c r="F7" s="91" t="s">
        <v>122</v>
      </c>
      <c r="G7" s="91"/>
      <c r="H7" s="91" t="s">
        <v>123</v>
      </c>
      <c r="I7" s="91" t="s">
        <v>36</v>
      </c>
      <c r="J7" s="92">
        <v>45849</v>
      </c>
      <c r="K7" s="91"/>
      <c r="L7" s="91" t="s">
        <v>139</v>
      </c>
      <c r="M7" s="93"/>
      <c r="N7" s="93">
        <v>553043</v>
      </c>
      <c r="O7" s="93">
        <v>557593</v>
      </c>
      <c r="P7" s="93">
        <v>493139</v>
      </c>
      <c r="Q7" s="93"/>
      <c r="R7" s="93"/>
      <c r="S7" s="52"/>
    </row>
    <row r="8" spans="1:19" x14ac:dyDescent="0.3">
      <c r="A8" s="64">
        <v>6057</v>
      </c>
      <c r="B8" s="64" t="s">
        <v>171</v>
      </c>
      <c r="C8" s="64" t="s">
        <v>172</v>
      </c>
      <c r="D8" s="64" t="s">
        <v>173</v>
      </c>
      <c r="E8" s="64" t="s">
        <v>121</v>
      </c>
      <c r="F8" s="64" t="s">
        <v>122</v>
      </c>
      <c r="G8" s="64"/>
      <c r="H8" s="64" t="s">
        <v>123</v>
      </c>
      <c r="I8" s="64" t="s">
        <v>36</v>
      </c>
      <c r="J8" s="84">
        <v>46034</v>
      </c>
      <c r="K8" s="64"/>
      <c r="L8" s="64" t="s">
        <v>139</v>
      </c>
      <c r="M8" s="85"/>
      <c r="N8" s="85">
        <v>553043</v>
      </c>
      <c r="O8" s="85">
        <v>557593</v>
      </c>
      <c r="P8" s="85">
        <v>463169</v>
      </c>
      <c r="Q8" s="85"/>
      <c r="R8" s="85"/>
      <c r="S8" s="86"/>
    </row>
    <row r="9" spans="1:19" x14ac:dyDescent="0.3">
      <c r="A9" s="64">
        <v>6149</v>
      </c>
      <c r="B9" s="64" t="s">
        <v>174</v>
      </c>
      <c r="C9" s="64" t="s">
        <v>175</v>
      </c>
      <c r="D9" s="64" t="s">
        <v>176</v>
      </c>
      <c r="E9" s="64" t="s">
        <v>121</v>
      </c>
      <c r="F9" s="64" t="s">
        <v>122</v>
      </c>
      <c r="G9" s="64" t="s">
        <v>122</v>
      </c>
      <c r="H9" s="64" t="s">
        <v>123</v>
      </c>
      <c r="I9" s="64" t="s">
        <v>36</v>
      </c>
      <c r="J9" s="84">
        <v>46084</v>
      </c>
      <c r="K9" s="64"/>
      <c r="L9" s="64" t="s">
        <v>125</v>
      </c>
      <c r="M9" s="85"/>
      <c r="N9" s="85">
        <v>640293</v>
      </c>
      <c r="O9" s="85">
        <v>648427</v>
      </c>
      <c r="P9" s="85">
        <v>379837</v>
      </c>
      <c r="Q9" s="85"/>
      <c r="R9" s="85"/>
      <c r="S9" s="86"/>
    </row>
    <row r="10" spans="1:19" x14ac:dyDescent="0.3">
      <c r="A10" s="64">
        <v>6249</v>
      </c>
      <c r="B10" s="64" t="s">
        <v>177</v>
      </c>
      <c r="C10" s="64" t="s">
        <v>178</v>
      </c>
      <c r="D10" s="64" t="s">
        <v>179</v>
      </c>
      <c r="E10" s="64" t="s">
        <v>121</v>
      </c>
      <c r="F10" s="64" t="s">
        <v>122</v>
      </c>
      <c r="G10" s="64"/>
      <c r="H10" s="64" t="s">
        <v>123</v>
      </c>
      <c r="I10" s="64" t="s">
        <v>36</v>
      </c>
      <c r="J10" s="84">
        <v>46160</v>
      </c>
      <c r="K10" s="64"/>
      <c r="L10" s="64" t="s">
        <v>180</v>
      </c>
      <c r="M10" s="85"/>
      <c r="N10" s="85">
        <v>470766</v>
      </c>
      <c r="O10" s="85">
        <v>472002</v>
      </c>
      <c r="P10" s="85">
        <v>38572</v>
      </c>
      <c r="Q10" s="85"/>
      <c r="R10" s="85"/>
      <c r="S10" s="86"/>
    </row>
    <row r="11" spans="1:19" x14ac:dyDescent="0.3">
      <c r="A11" s="64">
        <v>6260</v>
      </c>
      <c r="B11" s="64" t="s">
        <v>181</v>
      </c>
      <c r="C11" s="64" t="s">
        <v>182</v>
      </c>
      <c r="D11" s="64" t="s">
        <v>183</v>
      </c>
      <c r="E11" s="64" t="s">
        <v>121</v>
      </c>
      <c r="F11" s="64" t="s">
        <v>122</v>
      </c>
      <c r="G11" s="64"/>
      <c r="H11" s="64" t="s">
        <v>123</v>
      </c>
      <c r="I11" s="64" t="s">
        <v>36</v>
      </c>
      <c r="J11" s="84">
        <v>46197</v>
      </c>
      <c r="K11" s="64"/>
      <c r="L11" s="64" t="s">
        <v>180</v>
      </c>
      <c r="M11" s="88"/>
      <c r="N11" s="88"/>
      <c r="O11" s="88">
        <v>177607</v>
      </c>
      <c r="P11" s="88"/>
      <c r="Q11" s="88"/>
      <c r="R11" s="88"/>
      <c r="S11" s="86"/>
    </row>
    <row r="12" spans="1:19" x14ac:dyDescent="0.3">
      <c r="M12" s="86"/>
      <c r="N12" s="87">
        <f>SUM(N2:N11)</f>
        <v>5059893</v>
      </c>
      <c r="O12" s="87">
        <f>SUM(O2:O11)</f>
        <v>5142491</v>
      </c>
      <c r="P12" s="86"/>
      <c r="Q12" s="86"/>
      <c r="R12" s="87">
        <f>+O12+N13</f>
        <v>8546494</v>
      </c>
      <c r="S12" s="86"/>
    </row>
    <row r="13" spans="1:19" x14ac:dyDescent="0.3">
      <c r="M13" s="86"/>
      <c r="N13" s="87">
        <f>+N12-1655890</f>
        <v>3404003</v>
      </c>
      <c r="O13" s="86"/>
      <c r="P13" s="86"/>
      <c r="Q13" s="86"/>
      <c r="R13" s="86"/>
      <c r="S13" s="86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FEBD1-4E9B-430B-8B78-13AC5A4831EC}">
  <dimension ref="A1:R11"/>
  <sheetViews>
    <sheetView topLeftCell="D1" workbookViewId="0">
      <selection activeCell="R11" sqref="R11"/>
    </sheetView>
  </sheetViews>
  <sheetFormatPr baseColWidth="10" defaultRowHeight="14.4" x14ac:dyDescent="0.3"/>
  <cols>
    <col min="13" max="14" width="14.33203125" bestFit="1" customWidth="1"/>
    <col min="15" max="15" width="14.44140625" bestFit="1" customWidth="1"/>
    <col min="16" max="17" width="12.88671875" bestFit="1" customWidth="1"/>
    <col min="18" max="18" width="15.33203125" bestFit="1" customWidth="1"/>
  </cols>
  <sheetData>
    <row r="1" spans="1:18" s="53" customFormat="1" x14ac:dyDescent="0.3">
      <c r="A1" s="65" t="s">
        <v>43</v>
      </c>
      <c r="B1" s="65" t="s">
        <v>44</v>
      </c>
      <c r="C1" s="65" t="s">
        <v>45</v>
      </c>
      <c r="D1" s="65" t="s">
        <v>46</v>
      </c>
      <c r="E1" s="65" t="s">
        <v>47</v>
      </c>
      <c r="F1" s="65" t="s">
        <v>48</v>
      </c>
      <c r="G1" s="65" t="s">
        <v>49</v>
      </c>
      <c r="H1" s="65" t="s">
        <v>50</v>
      </c>
      <c r="I1" s="65" t="s">
        <v>51</v>
      </c>
      <c r="J1" s="65" t="s">
        <v>52</v>
      </c>
      <c r="K1" s="65" t="s">
        <v>53</v>
      </c>
      <c r="L1" s="65" t="s">
        <v>30</v>
      </c>
      <c r="M1" s="66" t="s">
        <v>57</v>
      </c>
      <c r="N1" s="66" t="s">
        <v>54</v>
      </c>
      <c r="O1" s="66" t="s">
        <v>55</v>
      </c>
      <c r="P1" s="66" t="s">
        <v>59</v>
      </c>
      <c r="Q1" s="66" t="s">
        <v>56</v>
      </c>
      <c r="R1" s="66" t="s">
        <v>60</v>
      </c>
    </row>
    <row r="2" spans="1:18" x14ac:dyDescent="0.3">
      <c r="A2" s="64">
        <v>4508</v>
      </c>
      <c r="B2" s="64" t="s">
        <v>118</v>
      </c>
      <c r="C2" s="64" t="s">
        <v>119</v>
      </c>
      <c r="D2" s="64" t="s">
        <v>120</v>
      </c>
      <c r="E2" s="64" t="s">
        <v>121</v>
      </c>
      <c r="F2" s="64" t="s">
        <v>122</v>
      </c>
      <c r="G2" s="64"/>
      <c r="H2" s="64" t="s">
        <v>123</v>
      </c>
      <c r="I2" s="64" t="s">
        <v>124</v>
      </c>
      <c r="J2" s="84">
        <v>45566</v>
      </c>
      <c r="K2" s="64"/>
      <c r="L2" s="64" t="s">
        <v>125</v>
      </c>
      <c r="M2" s="85"/>
      <c r="N2" s="85">
        <v>240539</v>
      </c>
      <c r="O2" s="85">
        <v>652373</v>
      </c>
      <c r="P2" s="85">
        <v>546690</v>
      </c>
      <c r="Q2" s="85"/>
      <c r="R2" s="85"/>
    </row>
    <row r="3" spans="1:18" x14ac:dyDescent="0.3">
      <c r="A3" s="64">
        <v>4885</v>
      </c>
      <c r="B3" s="64" t="s">
        <v>126</v>
      </c>
      <c r="C3" s="64" t="s">
        <v>127</v>
      </c>
      <c r="D3" s="64" t="s">
        <v>128</v>
      </c>
      <c r="E3" s="64" t="s">
        <v>121</v>
      </c>
      <c r="F3" s="64" t="s">
        <v>122</v>
      </c>
      <c r="G3" s="64"/>
      <c r="H3" s="64" t="s">
        <v>123</v>
      </c>
      <c r="I3" s="64" t="s">
        <v>124</v>
      </c>
      <c r="J3" s="84">
        <v>45705</v>
      </c>
      <c r="K3" s="64"/>
      <c r="L3" s="64" t="s">
        <v>129</v>
      </c>
      <c r="M3" s="85"/>
      <c r="N3" s="85">
        <v>872048</v>
      </c>
      <c r="O3" s="85">
        <v>872048</v>
      </c>
      <c r="P3" s="85">
        <v>840399</v>
      </c>
      <c r="Q3" s="85"/>
      <c r="R3" s="85"/>
    </row>
    <row r="4" spans="1:18" x14ac:dyDescent="0.3">
      <c r="A4" s="64">
        <v>4993</v>
      </c>
      <c r="B4" s="64" t="s">
        <v>130</v>
      </c>
      <c r="C4" s="64" t="s">
        <v>131</v>
      </c>
      <c r="D4" s="64" t="s">
        <v>132</v>
      </c>
      <c r="E4" s="64" t="s">
        <v>121</v>
      </c>
      <c r="F4" s="64" t="s">
        <v>122</v>
      </c>
      <c r="G4" s="64"/>
      <c r="H4" s="64" t="s">
        <v>123</v>
      </c>
      <c r="I4" s="64" t="s">
        <v>124</v>
      </c>
      <c r="J4" s="84">
        <v>45721</v>
      </c>
      <c r="K4" s="64"/>
      <c r="L4" s="64" t="s">
        <v>125</v>
      </c>
      <c r="M4" s="85"/>
      <c r="N4" s="85">
        <v>196320</v>
      </c>
      <c r="O4" s="85">
        <v>652373</v>
      </c>
      <c r="P4" s="85">
        <v>546690</v>
      </c>
      <c r="Q4" s="85"/>
      <c r="R4" s="85"/>
    </row>
    <row r="5" spans="1:18" x14ac:dyDescent="0.3">
      <c r="A5" s="64">
        <v>4995</v>
      </c>
      <c r="B5" s="64" t="s">
        <v>133</v>
      </c>
      <c r="C5" s="64" t="s">
        <v>134</v>
      </c>
      <c r="D5" s="64" t="s">
        <v>135</v>
      </c>
      <c r="E5" s="64" t="s">
        <v>121</v>
      </c>
      <c r="F5" s="64" t="s">
        <v>122</v>
      </c>
      <c r="G5" s="64"/>
      <c r="H5" s="64" t="s">
        <v>123</v>
      </c>
      <c r="I5" s="64" t="s">
        <v>124</v>
      </c>
      <c r="J5" s="84">
        <v>45721</v>
      </c>
      <c r="K5" s="64"/>
      <c r="L5" s="64" t="s">
        <v>125</v>
      </c>
      <c r="M5" s="85"/>
      <c r="N5" s="85">
        <v>195254</v>
      </c>
      <c r="O5" s="85">
        <v>571155</v>
      </c>
      <c r="P5" s="85">
        <v>514855</v>
      </c>
      <c r="Q5" s="85"/>
      <c r="R5" s="85"/>
    </row>
    <row r="6" spans="1:18" x14ac:dyDescent="0.3">
      <c r="A6" s="64">
        <v>5072</v>
      </c>
      <c r="B6" s="64" t="s">
        <v>136</v>
      </c>
      <c r="C6" s="64" t="s">
        <v>137</v>
      </c>
      <c r="D6" s="64" t="s">
        <v>138</v>
      </c>
      <c r="E6" s="64" t="s">
        <v>121</v>
      </c>
      <c r="F6" s="64" t="s">
        <v>122</v>
      </c>
      <c r="G6" s="64"/>
      <c r="H6" s="64" t="s">
        <v>123</v>
      </c>
      <c r="I6" s="64" t="s">
        <v>124</v>
      </c>
      <c r="J6" s="84">
        <v>45750</v>
      </c>
      <c r="K6" s="64"/>
      <c r="L6" s="64" t="s">
        <v>139</v>
      </c>
      <c r="M6" s="85"/>
      <c r="N6" s="85">
        <v>169500</v>
      </c>
      <c r="O6" s="85">
        <v>557593</v>
      </c>
      <c r="P6" s="85">
        <v>457534</v>
      </c>
      <c r="Q6" s="85"/>
      <c r="R6" s="85"/>
    </row>
    <row r="7" spans="1:18" x14ac:dyDescent="0.3">
      <c r="A7" s="64">
        <v>5474</v>
      </c>
      <c r="B7" s="64" t="s">
        <v>140</v>
      </c>
      <c r="C7" s="64" t="s">
        <v>141</v>
      </c>
      <c r="D7" s="64" t="s">
        <v>142</v>
      </c>
      <c r="E7" s="64" t="s">
        <v>121</v>
      </c>
      <c r="F7" s="64" t="s">
        <v>122</v>
      </c>
      <c r="G7" s="64"/>
      <c r="H7" s="64" t="s">
        <v>123</v>
      </c>
      <c r="I7" s="64" t="s">
        <v>124</v>
      </c>
      <c r="J7" s="84">
        <v>45889</v>
      </c>
      <c r="K7" s="64"/>
      <c r="L7" s="64" t="s">
        <v>143</v>
      </c>
      <c r="M7" s="85"/>
      <c r="N7" s="85">
        <v>492687</v>
      </c>
      <c r="O7" s="85">
        <v>516969</v>
      </c>
      <c r="P7" s="85">
        <v>559591</v>
      </c>
      <c r="Q7" s="85"/>
      <c r="R7" s="85"/>
    </row>
    <row r="8" spans="1:18" x14ac:dyDescent="0.3">
      <c r="A8" s="64">
        <v>5987</v>
      </c>
      <c r="B8" s="64" t="s">
        <v>144</v>
      </c>
      <c r="C8" s="64" t="s">
        <v>145</v>
      </c>
      <c r="D8" s="64" t="s">
        <v>146</v>
      </c>
      <c r="E8" s="64" t="s">
        <v>121</v>
      </c>
      <c r="F8" s="64" t="s">
        <v>122</v>
      </c>
      <c r="G8" s="64"/>
      <c r="H8" s="64" t="s">
        <v>123</v>
      </c>
      <c r="I8" s="64" t="s">
        <v>124</v>
      </c>
      <c r="J8" s="84">
        <v>45988</v>
      </c>
      <c r="K8" s="64"/>
      <c r="L8" s="64" t="s">
        <v>125</v>
      </c>
      <c r="M8" s="85"/>
      <c r="N8" s="85">
        <v>262649</v>
      </c>
      <c r="O8" s="85">
        <v>652373</v>
      </c>
      <c r="P8" s="85">
        <v>546690</v>
      </c>
      <c r="Q8" s="85"/>
      <c r="R8" s="85"/>
    </row>
    <row r="9" spans="1:18" x14ac:dyDescent="0.3">
      <c r="A9" s="64">
        <v>6074</v>
      </c>
      <c r="B9" s="64" t="s">
        <v>147</v>
      </c>
      <c r="C9" s="64" t="s">
        <v>148</v>
      </c>
      <c r="D9" s="64" t="s">
        <v>149</v>
      </c>
      <c r="E9" s="64" t="s">
        <v>121</v>
      </c>
      <c r="F9" s="64" t="s">
        <v>122</v>
      </c>
      <c r="G9" s="64"/>
      <c r="H9" s="64" t="s">
        <v>123</v>
      </c>
      <c r="I9" s="64" t="s">
        <v>124</v>
      </c>
      <c r="J9" s="84">
        <v>46041</v>
      </c>
      <c r="K9" s="64"/>
      <c r="L9" s="64" t="s">
        <v>139</v>
      </c>
      <c r="M9" s="85"/>
      <c r="N9" s="85">
        <v>264245</v>
      </c>
      <c r="O9" s="85">
        <v>468900</v>
      </c>
      <c r="P9" s="85">
        <v>412034</v>
      </c>
      <c r="Q9" s="85"/>
      <c r="R9" s="85"/>
    </row>
    <row r="10" spans="1:18" x14ac:dyDescent="0.3">
      <c r="A10" s="64">
        <v>6075</v>
      </c>
      <c r="B10" s="64" t="s">
        <v>150</v>
      </c>
      <c r="C10" s="64" t="s">
        <v>151</v>
      </c>
      <c r="D10" s="64" t="s">
        <v>152</v>
      </c>
      <c r="E10" s="64" t="s">
        <v>121</v>
      </c>
      <c r="F10" s="64" t="s">
        <v>122</v>
      </c>
      <c r="G10" s="64"/>
      <c r="H10" s="64" t="s">
        <v>123</v>
      </c>
      <c r="I10" s="64" t="s">
        <v>124</v>
      </c>
      <c r="J10" s="84">
        <v>46041</v>
      </c>
      <c r="K10" s="64"/>
      <c r="L10" s="64" t="s">
        <v>139</v>
      </c>
      <c r="M10" s="85"/>
      <c r="N10" s="85">
        <v>225092</v>
      </c>
      <c r="O10" s="85">
        <v>510144</v>
      </c>
      <c r="P10" s="85">
        <v>418598</v>
      </c>
      <c r="Q10" s="85"/>
      <c r="R10" s="85"/>
    </row>
    <row r="11" spans="1:18" x14ac:dyDescent="0.3">
      <c r="M11" s="86"/>
      <c r="N11" s="87">
        <f>SUM(N2:N10)</f>
        <v>2918334</v>
      </c>
      <c r="O11" s="87">
        <f>SUM(O2:O10)</f>
        <v>5453928</v>
      </c>
      <c r="P11" s="86"/>
      <c r="Q11" s="86"/>
      <c r="R11" s="87">
        <f>SUM(N11:Q11)</f>
        <v>8372262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8"/>
  <sheetViews>
    <sheetView workbookViewId="0">
      <selection activeCell="A8" sqref="A8:XFD8"/>
    </sheetView>
  </sheetViews>
  <sheetFormatPr baseColWidth="10" defaultColWidth="14.44140625" defaultRowHeight="15" customHeight="1" x14ac:dyDescent="0.3"/>
  <cols>
    <col min="1" max="1" width="10.6640625" customWidth="1"/>
    <col min="2" max="2" width="20.109375" customWidth="1"/>
    <col min="3" max="5" width="20.6640625" customWidth="1"/>
  </cols>
  <sheetData>
    <row r="1" spans="2:5" ht="14.25" customHeight="1" x14ac:dyDescent="0.3"/>
    <row r="2" spans="2:5" ht="14.25" customHeight="1" x14ac:dyDescent="0.3"/>
    <row r="3" spans="2:5" ht="14.25" customHeight="1" x14ac:dyDescent="0.3">
      <c r="B3" s="115" t="s">
        <v>17</v>
      </c>
      <c r="C3" s="99"/>
      <c r="D3" s="99"/>
      <c r="E3" s="114"/>
    </row>
    <row r="4" spans="2:5" ht="14.25" customHeight="1" x14ac:dyDescent="0.3">
      <c r="B4" s="23" t="s">
        <v>18</v>
      </c>
      <c r="C4" s="24" t="s">
        <v>19</v>
      </c>
      <c r="D4" s="25" t="s">
        <v>20</v>
      </c>
      <c r="E4" s="26" t="s">
        <v>21</v>
      </c>
    </row>
    <row r="5" spans="2:5" ht="14.25" customHeight="1" x14ac:dyDescent="0.3">
      <c r="B5" s="27" t="s">
        <v>0</v>
      </c>
      <c r="C5" s="28">
        <f>SUMIFS('P.F FRENTES'!C:C,'P.F FRENTES'!F:F,C4)</f>
        <v>1751.0000000000005</v>
      </c>
      <c r="D5" s="28">
        <f>SUMIFS('P.F FRENTES'!C:C,'P.F FRENTES'!F:F,D4)</f>
        <v>565.4</v>
      </c>
      <c r="E5" s="29">
        <f t="shared" ref="E5:E7" si="0">C5+D5</f>
        <v>2316.4000000000005</v>
      </c>
    </row>
    <row r="6" spans="2:5" ht="14.25" customHeight="1" x14ac:dyDescent="0.3">
      <c r="B6" s="30" t="s">
        <v>11</v>
      </c>
      <c r="C6" s="31">
        <f>SUMIFS('S.A FRENTES'!C:C,'S.A FRENTES'!F:F,C4)</f>
        <v>1208.1000000000001</v>
      </c>
      <c r="D6" s="31">
        <f>SUMIFS('S.A FRENTES'!C:C,'S.A FRENTES'!F:F,D4)</f>
        <v>304.10000000000002</v>
      </c>
      <c r="E6" s="32">
        <f t="shared" si="0"/>
        <v>1512.2000000000003</v>
      </c>
    </row>
    <row r="7" spans="2:5" ht="14.25" customHeight="1" x14ac:dyDescent="0.3">
      <c r="B7" s="30" t="s">
        <v>22</v>
      </c>
      <c r="C7" s="31">
        <f>SUMIFS('S.C FRENTES'!$C:$C,'S.C FRENTES'!$F:$F,'M2 EJECUTADOS '!C4)</f>
        <v>1652.1</v>
      </c>
      <c r="D7" s="31">
        <f>SUMIFS('S.C FRENTES'!$C:$C,'S.C FRENTES'!$F:$F,'M2 EJECUTADOS '!D4)</f>
        <v>114.19999999999999</v>
      </c>
      <c r="E7" s="32">
        <f t="shared" si="0"/>
        <v>1766.3</v>
      </c>
    </row>
    <row r="8" spans="2:5" ht="14.25" customHeight="1" x14ac:dyDescent="0.3">
      <c r="B8" s="33" t="s">
        <v>23</v>
      </c>
      <c r="C8" s="34"/>
      <c r="D8" s="34"/>
      <c r="E8" s="35">
        <f>SUM(E5:E7)</f>
        <v>5594.9000000000005</v>
      </c>
    </row>
  </sheetData>
  <mergeCells count="1">
    <mergeCell ref="B3:E3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0"/>
  <sheetViews>
    <sheetView workbookViewId="0">
      <pane ySplit="1" topLeftCell="A18" activePane="bottomLeft" state="frozen"/>
      <selection pane="bottomLeft" activeCell="C2" sqref="C2:C40"/>
    </sheetView>
  </sheetViews>
  <sheetFormatPr baseColWidth="10" defaultColWidth="14.44140625" defaultRowHeight="15" customHeight="1" x14ac:dyDescent="0.3"/>
  <cols>
    <col min="1" max="1" width="25.33203125" bestFit="1" customWidth="1"/>
    <col min="2" max="2" width="11.88671875" style="50" customWidth="1"/>
    <col min="3" max="3" width="10.77734375" style="50" customWidth="1"/>
    <col min="4" max="4" width="18.33203125" customWidth="1"/>
    <col min="5" max="5" width="17.6640625" customWidth="1"/>
    <col min="6" max="6" width="20.88671875" customWidth="1"/>
  </cols>
  <sheetData>
    <row r="1" spans="1:6" ht="14.25" customHeight="1" x14ac:dyDescent="0.3">
      <c r="A1" s="36" t="s">
        <v>24</v>
      </c>
      <c r="B1" s="44" t="s">
        <v>25</v>
      </c>
      <c r="C1" s="44" t="s">
        <v>26</v>
      </c>
      <c r="D1" s="37" t="s">
        <v>27</v>
      </c>
      <c r="E1" s="37" t="s">
        <v>28</v>
      </c>
      <c r="F1" s="37" t="s">
        <v>29</v>
      </c>
    </row>
    <row r="2" spans="1:6" ht="14.25" customHeight="1" x14ac:dyDescent="0.3">
      <c r="A2" t="s">
        <v>225</v>
      </c>
      <c r="B2" s="50">
        <v>4544</v>
      </c>
      <c r="C2" s="50">
        <v>41.699999999999996</v>
      </c>
      <c r="D2" t="s">
        <v>249</v>
      </c>
      <c r="E2" t="s">
        <v>250</v>
      </c>
      <c r="F2" s="72" t="s">
        <v>19</v>
      </c>
    </row>
    <row r="3" spans="1:6" ht="14.25" customHeight="1" x14ac:dyDescent="0.3">
      <c r="A3" t="s">
        <v>226</v>
      </c>
      <c r="B3" s="50">
        <v>4514</v>
      </c>
      <c r="C3" s="50">
        <v>46.4</v>
      </c>
      <c r="D3" t="s">
        <v>249</v>
      </c>
      <c r="E3" t="s">
        <v>250</v>
      </c>
      <c r="F3" s="72" t="s">
        <v>19</v>
      </c>
    </row>
    <row r="4" spans="1:6" ht="14.25" customHeight="1" x14ac:dyDescent="0.3">
      <c r="A4" t="s">
        <v>227</v>
      </c>
      <c r="B4" s="50">
        <v>5459</v>
      </c>
      <c r="C4" s="50">
        <v>28.8</v>
      </c>
      <c r="D4" t="s">
        <v>249</v>
      </c>
      <c r="E4" t="s">
        <v>251</v>
      </c>
      <c r="F4" s="72" t="s">
        <v>19</v>
      </c>
    </row>
    <row r="5" spans="1:6" ht="14.25" customHeight="1" x14ac:dyDescent="0.3">
      <c r="A5" t="s">
        <v>227</v>
      </c>
      <c r="B5" s="50">
        <v>5475</v>
      </c>
      <c r="C5" s="50">
        <v>28.900000000000002</v>
      </c>
      <c r="D5" t="s">
        <v>249</v>
      </c>
      <c r="E5" t="s">
        <v>250</v>
      </c>
      <c r="F5" s="72" t="s">
        <v>19</v>
      </c>
    </row>
    <row r="6" spans="1:6" ht="14.25" customHeight="1" x14ac:dyDescent="0.3">
      <c r="A6" t="s">
        <v>228</v>
      </c>
      <c r="B6" s="50">
        <v>3520</v>
      </c>
      <c r="C6" s="50">
        <v>32.6</v>
      </c>
      <c r="D6" t="s">
        <v>249</v>
      </c>
      <c r="E6" t="s">
        <v>250</v>
      </c>
      <c r="F6" s="72" t="s">
        <v>19</v>
      </c>
    </row>
    <row r="7" spans="1:6" ht="14.25" customHeight="1" x14ac:dyDescent="0.3">
      <c r="A7" t="s">
        <v>229</v>
      </c>
      <c r="B7" s="50">
        <v>3540</v>
      </c>
      <c r="C7" s="50">
        <v>43.699999999999996</v>
      </c>
      <c r="D7" t="s">
        <v>249</v>
      </c>
      <c r="E7" t="s">
        <v>250</v>
      </c>
      <c r="F7" s="72" t="s">
        <v>19</v>
      </c>
    </row>
    <row r="8" spans="1:6" ht="14.25" customHeight="1" x14ac:dyDescent="0.3">
      <c r="A8" t="s">
        <v>229</v>
      </c>
      <c r="B8" s="50">
        <v>3548</v>
      </c>
      <c r="C8" s="50">
        <v>121.3</v>
      </c>
      <c r="D8" t="s">
        <v>249</v>
      </c>
      <c r="E8" t="s">
        <v>250</v>
      </c>
      <c r="F8" s="72" t="s">
        <v>19</v>
      </c>
    </row>
    <row r="9" spans="1:6" ht="14.25" customHeight="1" x14ac:dyDescent="0.3">
      <c r="A9" t="s">
        <v>229</v>
      </c>
      <c r="B9" s="50">
        <v>3568</v>
      </c>
      <c r="C9" s="50">
        <v>45.9</v>
      </c>
      <c r="D9" t="s">
        <v>249</v>
      </c>
      <c r="E9" t="s">
        <v>250</v>
      </c>
      <c r="F9" s="72" t="s">
        <v>19</v>
      </c>
    </row>
    <row r="10" spans="1:6" ht="14.25" customHeight="1" x14ac:dyDescent="0.3">
      <c r="A10" t="s">
        <v>230</v>
      </c>
      <c r="B10" s="50">
        <v>4602</v>
      </c>
      <c r="C10" s="50">
        <v>187</v>
      </c>
      <c r="D10" t="s">
        <v>249</v>
      </c>
      <c r="E10" t="s">
        <v>251</v>
      </c>
      <c r="F10" s="72" t="s">
        <v>20</v>
      </c>
    </row>
    <row r="11" spans="1:6" ht="14.25" customHeight="1" x14ac:dyDescent="0.3">
      <c r="A11" t="s">
        <v>230</v>
      </c>
      <c r="B11" s="50">
        <v>5040</v>
      </c>
      <c r="C11" s="50">
        <v>44.4</v>
      </c>
      <c r="D11" t="s">
        <v>249</v>
      </c>
      <c r="E11" t="s">
        <v>250</v>
      </c>
      <c r="F11" s="72" t="s">
        <v>19</v>
      </c>
    </row>
    <row r="12" spans="1:6" ht="14.25" customHeight="1" x14ac:dyDescent="0.3">
      <c r="A12" t="s">
        <v>230</v>
      </c>
      <c r="B12" s="50">
        <v>5149</v>
      </c>
      <c r="C12" s="50">
        <v>42.3</v>
      </c>
      <c r="D12" t="s">
        <v>249</v>
      </c>
      <c r="E12" t="s">
        <v>251</v>
      </c>
      <c r="F12" s="62" t="s">
        <v>19</v>
      </c>
    </row>
    <row r="13" spans="1:6" ht="14.25" customHeight="1" x14ac:dyDescent="0.3">
      <c r="A13" t="s">
        <v>231</v>
      </c>
      <c r="B13" s="50">
        <v>3624</v>
      </c>
      <c r="C13" s="50">
        <v>73.3</v>
      </c>
      <c r="D13" t="s">
        <v>249</v>
      </c>
      <c r="E13" t="s">
        <v>250</v>
      </c>
      <c r="F13" s="72" t="s">
        <v>19</v>
      </c>
    </row>
    <row r="14" spans="1:6" ht="14.25" customHeight="1" x14ac:dyDescent="0.3">
      <c r="A14" t="s">
        <v>231</v>
      </c>
      <c r="B14" s="50">
        <v>5386</v>
      </c>
      <c r="C14" s="50">
        <v>46.9</v>
      </c>
      <c r="D14" t="s">
        <v>249</v>
      </c>
      <c r="E14" t="s">
        <v>250</v>
      </c>
      <c r="F14" s="72" t="s">
        <v>19</v>
      </c>
    </row>
    <row r="15" spans="1:6" ht="14.25" customHeight="1" x14ac:dyDescent="0.3">
      <c r="A15" t="s">
        <v>232</v>
      </c>
      <c r="B15" s="50">
        <v>4402</v>
      </c>
      <c r="C15" s="50">
        <v>41</v>
      </c>
      <c r="D15" t="s">
        <v>249</v>
      </c>
      <c r="E15" t="s">
        <v>251</v>
      </c>
      <c r="F15" s="72" t="s">
        <v>20</v>
      </c>
    </row>
    <row r="16" spans="1:6" ht="14.25" customHeight="1" x14ac:dyDescent="0.3">
      <c r="A16" t="s">
        <v>233</v>
      </c>
      <c r="B16" s="50">
        <v>4247</v>
      </c>
      <c r="C16" s="50">
        <v>21.7</v>
      </c>
      <c r="D16" t="s">
        <v>249</v>
      </c>
      <c r="E16" t="s">
        <v>250</v>
      </c>
      <c r="F16" s="72" t="s">
        <v>19</v>
      </c>
    </row>
    <row r="17" spans="1:6" ht="14.25" customHeight="1" x14ac:dyDescent="0.3">
      <c r="A17" t="s">
        <v>234</v>
      </c>
      <c r="B17" s="50">
        <v>915</v>
      </c>
      <c r="C17" s="50">
        <v>42</v>
      </c>
      <c r="D17" t="s">
        <v>249</v>
      </c>
      <c r="E17" t="s">
        <v>250</v>
      </c>
      <c r="F17" s="72" t="s">
        <v>19</v>
      </c>
    </row>
    <row r="18" spans="1:6" ht="14.25" customHeight="1" x14ac:dyDescent="0.3">
      <c r="A18" t="s">
        <v>235</v>
      </c>
      <c r="B18" s="50">
        <v>3883</v>
      </c>
      <c r="C18" s="50">
        <v>42.7</v>
      </c>
      <c r="D18" t="s">
        <v>249</v>
      </c>
      <c r="E18" t="s">
        <v>250</v>
      </c>
      <c r="F18" s="72" t="s">
        <v>19</v>
      </c>
    </row>
    <row r="19" spans="1:6" ht="14.25" customHeight="1" x14ac:dyDescent="0.3">
      <c r="A19" t="s">
        <v>235</v>
      </c>
      <c r="B19" s="50">
        <v>4647</v>
      </c>
      <c r="C19" s="50">
        <v>25.2</v>
      </c>
      <c r="D19" t="s">
        <v>249</v>
      </c>
      <c r="E19" t="s">
        <v>251</v>
      </c>
      <c r="F19" s="72" t="s">
        <v>19</v>
      </c>
    </row>
    <row r="20" spans="1:6" ht="14.25" customHeight="1" x14ac:dyDescent="0.3">
      <c r="A20" t="s">
        <v>235</v>
      </c>
      <c r="B20" s="50">
        <v>5163</v>
      </c>
      <c r="C20" s="50">
        <v>56.599999999999994</v>
      </c>
      <c r="D20" t="s">
        <v>249</v>
      </c>
      <c r="E20" t="s">
        <v>251</v>
      </c>
      <c r="F20" s="72" t="s">
        <v>19</v>
      </c>
    </row>
    <row r="21" spans="1:6" ht="14.25" customHeight="1" x14ac:dyDescent="0.3">
      <c r="A21" t="s">
        <v>235</v>
      </c>
      <c r="B21" s="50">
        <v>5285</v>
      </c>
      <c r="C21" s="50">
        <v>291.3</v>
      </c>
      <c r="D21" t="s">
        <v>249</v>
      </c>
      <c r="E21" t="s">
        <v>251</v>
      </c>
      <c r="F21" s="72" t="s">
        <v>20</v>
      </c>
    </row>
    <row r="22" spans="1:6" ht="14.25" customHeight="1" x14ac:dyDescent="0.3">
      <c r="A22" t="s">
        <v>235</v>
      </c>
      <c r="B22" s="50">
        <v>5348</v>
      </c>
      <c r="C22" s="50">
        <v>27.8</v>
      </c>
      <c r="D22" t="s">
        <v>249</v>
      </c>
      <c r="E22" t="s">
        <v>250</v>
      </c>
      <c r="F22" s="72" t="s">
        <v>19</v>
      </c>
    </row>
    <row r="23" spans="1:6" ht="14.25" customHeight="1" x14ac:dyDescent="0.3">
      <c r="A23" t="s">
        <v>236</v>
      </c>
      <c r="B23" s="50">
        <v>3646</v>
      </c>
      <c r="C23" s="50">
        <v>70</v>
      </c>
      <c r="D23" t="s">
        <v>249</v>
      </c>
      <c r="E23" t="s">
        <v>251</v>
      </c>
      <c r="F23" s="72" t="s">
        <v>19</v>
      </c>
    </row>
    <row r="24" spans="1:6" ht="14.25" customHeight="1" x14ac:dyDescent="0.3">
      <c r="A24" t="s">
        <v>237</v>
      </c>
      <c r="B24" s="50">
        <v>4461</v>
      </c>
      <c r="C24" s="50">
        <v>43.2</v>
      </c>
      <c r="D24" t="s">
        <v>249</v>
      </c>
      <c r="E24" t="s">
        <v>250</v>
      </c>
      <c r="F24" s="72" t="s">
        <v>19</v>
      </c>
    </row>
    <row r="25" spans="1:6" ht="14.25" customHeight="1" x14ac:dyDescent="0.3">
      <c r="A25" t="s">
        <v>238</v>
      </c>
      <c r="B25" s="50">
        <v>3906</v>
      </c>
      <c r="C25" s="50">
        <v>93.1</v>
      </c>
      <c r="D25" t="s">
        <v>249</v>
      </c>
      <c r="E25" t="s">
        <v>251</v>
      </c>
      <c r="F25" s="72" t="s">
        <v>19</v>
      </c>
    </row>
    <row r="26" spans="1:6" ht="14.25" customHeight="1" x14ac:dyDescent="0.3">
      <c r="A26" t="s">
        <v>239</v>
      </c>
      <c r="B26" s="50">
        <v>4917</v>
      </c>
      <c r="C26" s="50">
        <v>46.099999999999994</v>
      </c>
      <c r="D26" t="s">
        <v>249</v>
      </c>
      <c r="E26" t="s">
        <v>250</v>
      </c>
      <c r="F26" s="72" t="s">
        <v>20</v>
      </c>
    </row>
    <row r="27" spans="1:6" ht="14.25" customHeight="1" x14ac:dyDescent="0.3">
      <c r="A27" t="s">
        <v>240</v>
      </c>
      <c r="B27" s="50">
        <v>3402</v>
      </c>
      <c r="C27" s="50">
        <v>66.400000000000006</v>
      </c>
      <c r="D27" t="s">
        <v>249</v>
      </c>
      <c r="E27" t="s">
        <v>251</v>
      </c>
      <c r="F27" s="62" t="s">
        <v>19</v>
      </c>
    </row>
    <row r="28" spans="1:6" ht="14.25" customHeight="1" x14ac:dyDescent="0.3">
      <c r="A28" t="s">
        <v>240</v>
      </c>
      <c r="B28" s="50">
        <v>3420</v>
      </c>
      <c r="C28" s="50">
        <v>42.5</v>
      </c>
      <c r="D28" t="s">
        <v>249</v>
      </c>
      <c r="E28" t="s">
        <v>250</v>
      </c>
      <c r="F28" s="62" t="s">
        <v>19</v>
      </c>
    </row>
    <row r="29" spans="1:6" ht="14.25" customHeight="1" x14ac:dyDescent="0.3">
      <c r="A29" t="s">
        <v>240</v>
      </c>
      <c r="B29" s="50">
        <v>3614</v>
      </c>
      <c r="C29" s="50">
        <v>43.699999999999996</v>
      </c>
      <c r="D29" t="s">
        <v>249</v>
      </c>
      <c r="E29" t="s">
        <v>250</v>
      </c>
      <c r="F29" s="62" t="s">
        <v>19</v>
      </c>
    </row>
    <row r="30" spans="1:6" ht="14.25" customHeight="1" x14ac:dyDescent="0.3">
      <c r="A30" t="s">
        <v>241</v>
      </c>
      <c r="B30" s="50">
        <v>3485</v>
      </c>
      <c r="C30" s="50">
        <v>47.9</v>
      </c>
      <c r="D30" t="s">
        <v>249</v>
      </c>
      <c r="E30" t="s">
        <v>250</v>
      </c>
      <c r="F30" s="62" t="s">
        <v>19</v>
      </c>
    </row>
    <row r="31" spans="1:6" ht="14.25" customHeight="1" x14ac:dyDescent="0.3">
      <c r="A31" t="s">
        <v>242</v>
      </c>
      <c r="B31" s="50">
        <v>4418</v>
      </c>
      <c r="C31" s="50">
        <v>46.8</v>
      </c>
      <c r="D31" t="s">
        <v>249</v>
      </c>
      <c r="E31" t="s">
        <v>251</v>
      </c>
      <c r="F31" s="62" t="s">
        <v>19</v>
      </c>
    </row>
    <row r="32" spans="1:6" ht="14.25" customHeight="1" x14ac:dyDescent="0.3">
      <c r="A32" t="s">
        <v>243</v>
      </c>
      <c r="B32" s="50">
        <v>2344</v>
      </c>
      <c r="C32" s="50">
        <v>41.1</v>
      </c>
      <c r="D32" t="s">
        <v>249</v>
      </c>
      <c r="E32" t="s">
        <v>250</v>
      </c>
      <c r="F32" s="62" t="s">
        <v>19</v>
      </c>
    </row>
    <row r="33" spans="1:6" ht="14.25" customHeight="1" x14ac:dyDescent="0.3">
      <c r="A33" t="s">
        <v>244</v>
      </c>
      <c r="B33" s="50">
        <v>4788</v>
      </c>
      <c r="C33" s="50">
        <v>156.70000000000002</v>
      </c>
      <c r="D33" t="s">
        <v>249</v>
      </c>
      <c r="E33" t="s">
        <v>251</v>
      </c>
      <c r="F33" s="62" t="s">
        <v>19</v>
      </c>
    </row>
    <row r="34" spans="1:6" ht="14.25" customHeight="1" x14ac:dyDescent="0.3">
      <c r="A34" t="s">
        <v>245</v>
      </c>
      <c r="B34" s="50">
        <v>4650</v>
      </c>
      <c r="C34" s="50">
        <v>39.799999999999997</v>
      </c>
      <c r="D34" t="s">
        <v>249</v>
      </c>
      <c r="E34" t="s">
        <v>250</v>
      </c>
      <c r="F34" s="62" t="s">
        <v>19</v>
      </c>
    </row>
    <row r="35" spans="1:6" ht="14.25" customHeight="1" x14ac:dyDescent="0.3">
      <c r="A35" t="s">
        <v>246</v>
      </c>
      <c r="B35" s="50">
        <v>3472</v>
      </c>
      <c r="C35" s="50">
        <v>37.4</v>
      </c>
      <c r="D35" t="s">
        <v>249</v>
      </c>
      <c r="E35" t="s">
        <v>250</v>
      </c>
      <c r="F35" s="62" t="s">
        <v>19</v>
      </c>
    </row>
    <row r="36" spans="1:6" ht="14.25" customHeight="1" x14ac:dyDescent="0.3">
      <c r="A36" t="s">
        <v>246</v>
      </c>
      <c r="B36" s="50">
        <v>3563</v>
      </c>
      <c r="C36" s="50">
        <v>41.9</v>
      </c>
      <c r="D36" t="s">
        <v>249</v>
      </c>
      <c r="E36" t="s">
        <v>250</v>
      </c>
      <c r="F36" s="62" t="s">
        <v>19</v>
      </c>
    </row>
    <row r="37" spans="1:6" ht="14.25" customHeight="1" x14ac:dyDescent="0.3">
      <c r="A37" t="s">
        <v>246</v>
      </c>
      <c r="B37" s="50">
        <v>3682</v>
      </c>
      <c r="C37" s="50">
        <v>41.9</v>
      </c>
      <c r="D37" t="s">
        <v>249</v>
      </c>
      <c r="E37" t="s">
        <v>250</v>
      </c>
      <c r="F37" t="s">
        <v>19</v>
      </c>
    </row>
    <row r="38" spans="1:6" ht="14.25" customHeight="1" x14ac:dyDescent="0.3">
      <c r="A38" t="s">
        <v>247</v>
      </c>
      <c r="B38" s="50">
        <v>3253</v>
      </c>
      <c r="C38" s="50">
        <v>42.5</v>
      </c>
      <c r="D38" t="s">
        <v>249</v>
      </c>
      <c r="E38" t="s">
        <v>251</v>
      </c>
      <c r="F38" t="s">
        <v>19</v>
      </c>
    </row>
    <row r="39" spans="1:6" ht="14.25" customHeight="1" x14ac:dyDescent="0.3">
      <c r="A39" t="s">
        <v>247</v>
      </c>
      <c r="B39" s="50">
        <v>3437</v>
      </c>
      <c r="C39" s="50">
        <v>43.7</v>
      </c>
      <c r="D39" t="s">
        <v>249</v>
      </c>
      <c r="E39" t="s">
        <v>251</v>
      </c>
      <c r="F39" t="s">
        <v>19</v>
      </c>
    </row>
    <row r="40" spans="1:6" ht="14.25" customHeight="1" x14ac:dyDescent="0.3">
      <c r="A40" t="s">
        <v>248</v>
      </c>
      <c r="B40" s="50">
        <v>4267</v>
      </c>
      <c r="C40" s="50">
        <v>40.200000000000003</v>
      </c>
      <c r="D40" t="s">
        <v>249</v>
      </c>
      <c r="E40" t="s">
        <v>250</v>
      </c>
      <c r="F40" t="s">
        <v>19</v>
      </c>
    </row>
  </sheetData>
  <autoFilter ref="A1:F1" xr:uid="{00000000-0009-0000-0000-000005000000}"/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5"/>
  <sheetViews>
    <sheetView workbookViewId="0">
      <pane ySplit="1" topLeftCell="A2" activePane="bottomLeft" state="frozen"/>
      <selection pane="bottomLeft" activeCell="A2" sqref="A2:B25"/>
    </sheetView>
  </sheetViews>
  <sheetFormatPr baseColWidth="10" defaultColWidth="14.44140625" defaultRowHeight="15" customHeight="1" x14ac:dyDescent="0.3"/>
  <cols>
    <col min="1" max="1" width="38" customWidth="1"/>
    <col min="2" max="2" width="11.88671875" customWidth="1"/>
    <col min="3" max="3" width="22.6640625" customWidth="1"/>
    <col min="4" max="4" width="18.33203125" customWidth="1"/>
    <col min="5" max="5" width="17.6640625" customWidth="1"/>
    <col min="6" max="6" width="20.88671875" customWidth="1"/>
  </cols>
  <sheetData>
    <row r="1" spans="1:6" ht="14.25" customHeight="1" x14ac:dyDescent="0.3">
      <c r="A1" s="36" t="s">
        <v>24</v>
      </c>
      <c r="B1" s="44" t="s">
        <v>25</v>
      </c>
      <c r="C1" s="44" t="s">
        <v>26</v>
      </c>
      <c r="D1" s="37" t="s">
        <v>27</v>
      </c>
      <c r="E1" s="37" t="s">
        <v>28</v>
      </c>
      <c r="F1" s="37" t="s">
        <v>29</v>
      </c>
    </row>
    <row r="2" spans="1:6" ht="14.25" customHeight="1" x14ac:dyDescent="0.3">
      <c r="A2" t="s">
        <v>274</v>
      </c>
      <c r="B2" s="45">
        <v>2802</v>
      </c>
      <c r="C2" s="45">
        <v>148.69999999999999</v>
      </c>
      <c r="D2" t="s">
        <v>249</v>
      </c>
      <c r="E2" t="s">
        <v>250</v>
      </c>
      <c r="F2" s="62" t="s">
        <v>19</v>
      </c>
    </row>
    <row r="3" spans="1:6" ht="14.25" customHeight="1" x14ac:dyDescent="0.3">
      <c r="A3" t="s">
        <v>275</v>
      </c>
      <c r="B3" s="45">
        <v>3020</v>
      </c>
      <c r="C3" s="45">
        <v>37.299999999999997</v>
      </c>
      <c r="D3" t="s">
        <v>249</v>
      </c>
      <c r="E3" t="s">
        <v>250</v>
      </c>
      <c r="F3" s="62" t="s">
        <v>19</v>
      </c>
    </row>
    <row r="4" spans="1:6" ht="14.25" customHeight="1" x14ac:dyDescent="0.3">
      <c r="A4" t="s">
        <v>276</v>
      </c>
      <c r="B4" s="45">
        <v>2593</v>
      </c>
      <c r="C4" s="45">
        <v>33.1</v>
      </c>
      <c r="D4" t="s">
        <v>249</v>
      </c>
      <c r="E4" t="s">
        <v>250</v>
      </c>
      <c r="F4" s="62" t="s">
        <v>19</v>
      </c>
    </row>
    <row r="5" spans="1:6" ht="14.25" customHeight="1" x14ac:dyDescent="0.3">
      <c r="A5" t="s">
        <v>277</v>
      </c>
      <c r="B5" s="45">
        <v>2766</v>
      </c>
      <c r="C5" s="45">
        <v>36.299999999999997</v>
      </c>
      <c r="D5" t="s">
        <v>249</v>
      </c>
      <c r="E5" t="s">
        <v>250</v>
      </c>
      <c r="F5" s="62" t="s">
        <v>19</v>
      </c>
    </row>
    <row r="6" spans="1:6" ht="14.25" customHeight="1" x14ac:dyDescent="0.3">
      <c r="A6" t="s">
        <v>278</v>
      </c>
      <c r="B6" s="45">
        <v>2785</v>
      </c>
      <c r="C6" s="45">
        <v>38.700000000000003</v>
      </c>
      <c r="D6" t="s">
        <v>249</v>
      </c>
      <c r="E6" t="s">
        <v>251</v>
      </c>
      <c r="F6" s="62" t="s">
        <v>19</v>
      </c>
    </row>
    <row r="7" spans="1:6" ht="14.25" customHeight="1" x14ac:dyDescent="0.3">
      <c r="A7" t="s">
        <v>279</v>
      </c>
      <c r="B7" s="45">
        <v>3126</v>
      </c>
      <c r="C7" s="45">
        <v>41</v>
      </c>
      <c r="D7" t="s">
        <v>249</v>
      </c>
      <c r="E7" t="s">
        <v>250</v>
      </c>
      <c r="F7" s="62" t="s">
        <v>19</v>
      </c>
    </row>
    <row r="8" spans="1:6" ht="14.25" customHeight="1" x14ac:dyDescent="0.3">
      <c r="A8" t="s">
        <v>280</v>
      </c>
      <c r="B8" s="45">
        <v>2642</v>
      </c>
      <c r="C8" s="45">
        <v>46.6</v>
      </c>
      <c r="D8" t="s">
        <v>249</v>
      </c>
      <c r="E8" t="s">
        <v>250</v>
      </c>
      <c r="F8" s="62" t="s">
        <v>19</v>
      </c>
    </row>
    <row r="9" spans="1:6" ht="14.25" customHeight="1" x14ac:dyDescent="0.3">
      <c r="A9" t="s">
        <v>280</v>
      </c>
      <c r="B9" s="45">
        <v>3900</v>
      </c>
      <c r="C9" s="45">
        <v>85.4</v>
      </c>
      <c r="D9" t="s">
        <v>249</v>
      </c>
      <c r="E9" t="s">
        <v>251</v>
      </c>
      <c r="F9" s="62" t="s">
        <v>20</v>
      </c>
    </row>
    <row r="10" spans="1:6" ht="14.25" customHeight="1" x14ac:dyDescent="0.3">
      <c r="A10" t="s">
        <v>281</v>
      </c>
      <c r="B10" s="45">
        <v>2502</v>
      </c>
      <c r="C10" s="45">
        <v>53.9</v>
      </c>
      <c r="D10" t="s">
        <v>249</v>
      </c>
      <c r="E10" t="s">
        <v>251</v>
      </c>
      <c r="F10" s="62" t="s">
        <v>19</v>
      </c>
    </row>
    <row r="11" spans="1:6" ht="14.25" customHeight="1" x14ac:dyDescent="0.3">
      <c r="A11" t="s">
        <v>282</v>
      </c>
      <c r="B11" s="45">
        <v>3354</v>
      </c>
      <c r="C11" s="45">
        <v>44.099999999999994</v>
      </c>
      <c r="D11" t="s">
        <v>249</v>
      </c>
      <c r="E11" t="s">
        <v>250</v>
      </c>
      <c r="F11" s="62" t="s">
        <v>19</v>
      </c>
    </row>
    <row r="12" spans="1:6" ht="14.25" customHeight="1" x14ac:dyDescent="0.3">
      <c r="A12" t="s">
        <v>283</v>
      </c>
      <c r="B12" s="45">
        <v>5204</v>
      </c>
      <c r="C12" s="45">
        <v>55.7</v>
      </c>
      <c r="D12" t="s">
        <v>249</v>
      </c>
      <c r="E12" t="s">
        <v>251</v>
      </c>
      <c r="F12" s="62" t="s">
        <v>20</v>
      </c>
    </row>
    <row r="13" spans="1:6" ht="14.25" customHeight="1" x14ac:dyDescent="0.3">
      <c r="A13" t="s">
        <v>284</v>
      </c>
      <c r="B13" s="45">
        <v>2476</v>
      </c>
      <c r="C13" s="45">
        <v>46.7</v>
      </c>
      <c r="D13" t="s">
        <v>249</v>
      </c>
      <c r="E13" t="s">
        <v>251</v>
      </c>
      <c r="F13" s="62" t="s">
        <v>19</v>
      </c>
    </row>
    <row r="14" spans="1:6" ht="14.25" customHeight="1" x14ac:dyDescent="0.3">
      <c r="A14" t="s">
        <v>285</v>
      </c>
      <c r="B14" s="45">
        <v>2729</v>
      </c>
      <c r="C14" s="45">
        <v>36.5</v>
      </c>
      <c r="D14" t="s">
        <v>249</v>
      </c>
      <c r="E14" t="s">
        <v>250</v>
      </c>
      <c r="F14" s="62" t="s">
        <v>19</v>
      </c>
    </row>
    <row r="15" spans="1:6" ht="14.25" customHeight="1" x14ac:dyDescent="0.3">
      <c r="A15" t="s">
        <v>286</v>
      </c>
      <c r="B15" s="45">
        <v>2858</v>
      </c>
      <c r="C15" s="45">
        <v>34.200000000000003</v>
      </c>
      <c r="D15" t="s">
        <v>249</v>
      </c>
      <c r="E15" t="s">
        <v>250</v>
      </c>
      <c r="F15" s="62" t="s">
        <v>19</v>
      </c>
    </row>
    <row r="16" spans="1:6" ht="14.25" customHeight="1" x14ac:dyDescent="0.3">
      <c r="A16" t="s">
        <v>286</v>
      </c>
      <c r="B16" s="45">
        <v>3527</v>
      </c>
      <c r="C16" s="45">
        <v>41</v>
      </c>
      <c r="D16" t="s">
        <v>249</v>
      </c>
      <c r="E16" t="s">
        <v>250</v>
      </c>
      <c r="F16" s="62" t="s">
        <v>19</v>
      </c>
    </row>
    <row r="17" spans="1:6" ht="14.25" customHeight="1" x14ac:dyDescent="0.3">
      <c r="A17" t="s">
        <v>287</v>
      </c>
      <c r="B17" s="45">
        <v>3416</v>
      </c>
      <c r="C17" s="45">
        <v>180.5</v>
      </c>
      <c r="D17" t="s">
        <v>249</v>
      </c>
      <c r="E17" t="s">
        <v>251</v>
      </c>
      <c r="F17" s="62" t="s">
        <v>19</v>
      </c>
    </row>
    <row r="18" spans="1:6" ht="14.25" customHeight="1" x14ac:dyDescent="0.3">
      <c r="A18" t="s">
        <v>288</v>
      </c>
      <c r="B18" s="45">
        <v>3318</v>
      </c>
      <c r="C18" s="45">
        <v>46.3</v>
      </c>
      <c r="D18" t="s">
        <v>249</v>
      </c>
      <c r="E18" t="s">
        <v>250</v>
      </c>
      <c r="F18" s="62" t="s">
        <v>19</v>
      </c>
    </row>
    <row r="19" spans="1:6" ht="14.25" customHeight="1" x14ac:dyDescent="0.3">
      <c r="A19" t="s">
        <v>289</v>
      </c>
      <c r="B19" s="45">
        <v>2434</v>
      </c>
      <c r="C19" s="45">
        <v>37.4</v>
      </c>
      <c r="D19" t="s">
        <v>249</v>
      </c>
      <c r="E19" t="s">
        <v>250</v>
      </c>
      <c r="F19" s="62" t="s">
        <v>19</v>
      </c>
    </row>
    <row r="20" spans="1:6" ht="14.25" customHeight="1" x14ac:dyDescent="0.3">
      <c r="A20" t="s">
        <v>289</v>
      </c>
      <c r="B20" s="45">
        <v>2637</v>
      </c>
      <c r="C20" s="45">
        <v>19.600000000000001</v>
      </c>
      <c r="D20" t="s">
        <v>249</v>
      </c>
      <c r="E20" t="s">
        <v>251</v>
      </c>
      <c r="F20" s="56" t="s">
        <v>20</v>
      </c>
    </row>
    <row r="21" spans="1:6" ht="14.25" customHeight="1" x14ac:dyDescent="0.3">
      <c r="A21" t="s">
        <v>290</v>
      </c>
      <c r="B21" s="45">
        <v>4602</v>
      </c>
      <c r="C21" s="45">
        <v>143.4</v>
      </c>
      <c r="D21" t="s">
        <v>249</v>
      </c>
      <c r="E21" t="s">
        <v>251</v>
      </c>
      <c r="F21" s="56" t="s">
        <v>20</v>
      </c>
    </row>
    <row r="22" spans="1:6" ht="14.25" customHeight="1" x14ac:dyDescent="0.3">
      <c r="A22" t="s">
        <v>290</v>
      </c>
      <c r="B22" s="45">
        <v>4909</v>
      </c>
      <c r="C22" s="45">
        <v>134.80000000000001</v>
      </c>
      <c r="D22" t="s">
        <v>249</v>
      </c>
      <c r="E22" t="s">
        <v>250</v>
      </c>
      <c r="F22" s="56" t="s">
        <v>19</v>
      </c>
    </row>
    <row r="23" spans="1:6" ht="14.25" customHeight="1" x14ac:dyDescent="0.3">
      <c r="A23" t="s">
        <v>291</v>
      </c>
      <c r="B23" s="45">
        <v>2761</v>
      </c>
      <c r="C23" s="45">
        <v>36.4</v>
      </c>
      <c r="D23" t="s">
        <v>249</v>
      </c>
      <c r="E23" t="s">
        <v>251</v>
      </c>
      <c r="F23" t="s">
        <v>19</v>
      </c>
    </row>
    <row r="24" spans="1:6" ht="14.25" customHeight="1" x14ac:dyDescent="0.3">
      <c r="A24" t="s">
        <v>292</v>
      </c>
      <c r="B24" s="45">
        <v>3252</v>
      </c>
      <c r="C24" s="45">
        <v>41.2</v>
      </c>
      <c r="D24" t="s">
        <v>249</v>
      </c>
      <c r="E24" t="s">
        <v>251</v>
      </c>
      <c r="F24" t="s">
        <v>19</v>
      </c>
    </row>
    <row r="25" spans="1:6" ht="14.25" customHeight="1" x14ac:dyDescent="0.3">
      <c r="A25" t="s">
        <v>292</v>
      </c>
      <c r="B25" s="45">
        <v>5170</v>
      </c>
      <c r="C25" s="45">
        <v>93.399999999999991</v>
      </c>
      <c r="D25" t="s">
        <v>249</v>
      </c>
      <c r="E25" t="s">
        <v>250</v>
      </c>
      <c r="F25" t="s">
        <v>19</v>
      </c>
    </row>
  </sheetData>
  <autoFilter ref="A1:F25" xr:uid="{00000000-0009-0000-0000-000006000000}"/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9"/>
  <sheetViews>
    <sheetView workbookViewId="0">
      <pane ySplit="1" topLeftCell="A2" activePane="bottomLeft" state="frozen"/>
      <selection pane="bottomLeft" activeCell="E10" sqref="E10"/>
    </sheetView>
  </sheetViews>
  <sheetFormatPr baseColWidth="10" defaultColWidth="14.44140625" defaultRowHeight="15" customHeight="1" x14ac:dyDescent="0.3"/>
  <cols>
    <col min="1" max="1" width="37.5546875" customWidth="1"/>
    <col min="2" max="2" width="11.88671875" customWidth="1"/>
    <col min="3" max="3" width="22.6640625" customWidth="1"/>
    <col min="4" max="4" width="18.33203125" customWidth="1"/>
    <col min="5" max="6" width="17.6640625" customWidth="1"/>
  </cols>
  <sheetData>
    <row r="1" spans="1:6" ht="14.25" customHeight="1" x14ac:dyDescent="0.3">
      <c r="A1" s="36" t="s">
        <v>24</v>
      </c>
      <c r="B1" s="37" t="s">
        <v>25</v>
      </c>
      <c r="C1" s="37" t="s">
        <v>26</v>
      </c>
      <c r="D1" s="37" t="s">
        <v>27</v>
      </c>
      <c r="E1" s="37" t="s">
        <v>28</v>
      </c>
      <c r="F1" s="37" t="s">
        <v>29</v>
      </c>
    </row>
    <row r="2" spans="1:6" ht="14.25" customHeight="1" x14ac:dyDescent="0.3">
      <c r="A2" s="38" t="s">
        <v>252</v>
      </c>
      <c r="B2" s="39">
        <v>2028</v>
      </c>
      <c r="C2" s="39">
        <v>31.5</v>
      </c>
      <c r="D2" s="40" t="s">
        <v>249</v>
      </c>
      <c r="E2" s="40" t="s">
        <v>250</v>
      </c>
      <c r="F2" s="43" t="s">
        <v>19</v>
      </c>
    </row>
    <row r="3" spans="1:6" ht="14.25" customHeight="1" x14ac:dyDescent="0.3">
      <c r="A3" s="41" t="s">
        <v>253</v>
      </c>
      <c r="B3" s="42">
        <v>2020</v>
      </c>
      <c r="C3" s="42">
        <v>4</v>
      </c>
      <c r="D3" s="43" t="s">
        <v>249</v>
      </c>
      <c r="E3" s="43" t="s">
        <v>251</v>
      </c>
      <c r="F3" s="43" t="s">
        <v>19</v>
      </c>
    </row>
    <row r="4" spans="1:6" ht="14.25" customHeight="1" x14ac:dyDescent="0.3">
      <c r="A4" s="38" t="s">
        <v>253</v>
      </c>
      <c r="B4" s="39">
        <v>2443</v>
      </c>
      <c r="C4" s="39">
        <v>30.099999999999998</v>
      </c>
      <c r="D4" s="40" t="s">
        <v>249</v>
      </c>
      <c r="E4" s="40" t="s">
        <v>251</v>
      </c>
      <c r="F4" s="43" t="s">
        <v>19</v>
      </c>
    </row>
    <row r="5" spans="1:6" ht="14.25" customHeight="1" x14ac:dyDescent="0.3">
      <c r="A5" s="41" t="s">
        <v>253</v>
      </c>
      <c r="B5" s="42">
        <v>2621</v>
      </c>
      <c r="C5" s="42">
        <v>41.6</v>
      </c>
      <c r="D5" s="43" t="s">
        <v>249</v>
      </c>
      <c r="E5" s="43" t="s">
        <v>250</v>
      </c>
      <c r="F5" s="43" t="s">
        <v>19</v>
      </c>
    </row>
    <row r="6" spans="1:6" ht="14.25" customHeight="1" x14ac:dyDescent="0.3">
      <c r="A6" s="38" t="s">
        <v>253</v>
      </c>
      <c r="B6" s="39">
        <v>3709</v>
      </c>
      <c r="C6" s="39">
        <v>40.700000000000003</v>
      </c>
      <c r="D6" s="40" t="s">
        <v>249</v>
      </c>
      <c r="E6" s="40" t="s">
        <v>251</v>
      </c>
      <c r="F6" s="43" t="s">
        <v>19</v>
      </c>
    </row>
    <row r="7" spans="1:6" ht="14.25" customHeight="1" x14ac:dyDescent="0.3">
      <c r="A7" s="41" t="s">
        <v>253</v>
      </c>
      <c r="B7" s="42">
        <v>3758</v>
      </c>
      <c r="C7" s="42">
        <v>32.4</v>
      </c>
      <c r="D7" s="43" t="s">
        <v>249</v>
      </c>
      <c r="E7" s="43" t="s">
        <v>250</v>
      </c>
      <c r="F7" s="43" t="s">
        <v>19</v>
      </c>
    </row>
    <row r="8" spans="1:6" ht="14.25" customHeight="1" x14ac:dyDescent="0.3">
      <c r="A8" s="38" t="s">
        <v>253</v>
      </c>
      <c r="B8" s="39">
        <v>3776</v>
      </c>
      <c r="C8" s="39">
        <v>31</v>
      </c>
      <c r="D8" s="40" t="s">
        <v>249</v>
      </c>
      <c r="E8" s="40" t="s">
        <v>250</v>
      </c>
      <c r="F8" s="43" t="s">
        <v>19</v>
      </c>
    </row>
    <row r="9" spans="1:6" ht="14.25" customHeight="1" x14ac:dyDescent="0.3">
      <c r="A9" s="41" t="s">
        <v>254</v>
      </c>
      <c r="B9" s="42">
        <v>2391</v>
      </c>
      <c r="C9" s="42">
        <v>44.300000000000004</v>
      </c>
      <c r="D9" s="43" t="s">
        <v>249</v>
      </c>
      <c r="E9" s="43" t="s">
        <v>251</v>
      </c>
      <c r="F9" s="43" t="s">
        <v>19</v>
      </c>
    </row>
    <row r="10" spans="1:6" ht="14.25" customHeight="1" x14ac:dyDescent="0.3">
      <c r="A10" s="38" t="s">
        <v>255</v>
      </c>
      <c r="B10" s="39">
        <v>2485</v>
      </c>
      <c r="C10" s="39">
        <v>44.6</v>
      </c>
      <c r="D10" s="40" t="s">
        <v>249</v>
      </c>
      <c r="E10" s="40" t="s">
        <v>250</v>
      </c>
      <c r="F10" s="43" t="s">
        <v>19</v>
      </c>
    </row>
    <row r="11" spans="1:6" ht="14.25" customHeight="1" x14ac:dyDescent="0.3">
      <c r="A11" s="41" t="s">
        <v>256</v>
      </c>
      <c r="B11" s="42">
        <v>1912</v>
      </c>
      <c r="C11" s="42">
        <v>47.4</v>
      </c>
      <c r="D11" s="43" t="s">
        <v>249</v>
      </c>
      <c r="E11" s="43" t="s">
        <v>250</v>
      </c>
      <c r="F11" s="43" t="s">
        <v>19</v>
      </c>
    </row>
    <row r="12" spans="1:6" ht="14.25" customHeight="1" x14ac:dyDescent="0.3">
      <c r="A12" s="38" t="s">
        <v>256</v>
      </c>
      <c r="B12" s="39">
        <v>2466</v>
      </c>
      <c r="C12" s="39">
        <v>32.1</v>
      </c>
      <c r="D12" s="40" t="s">
        <v>249</v>
      </c>
      <c r="E12" s="40" t="s">
        <v>250</v>
      </c>
      <c r="F12" s="43" t="s">
        <v>19</v>
      </c>
    </row>
    <row r="13" spans="1:6" ht="14.25" customHeight="1" x14ac:dyDescent="0.3">
      <c r="A13" s="41" t="s">
        <v>256</v>
      </c>
      <c r="B13" s="42">
        <v>2476</v>
      </c>
      <c r="C13" s="42">
        <v>8.3000000000000007</v>
      </c>
      <c r="D13" s="43" t="s">
        <v>249</v>
      </c>
      <c r="E13" s="43" t="s">
        <v>251</v>
      </c>
      <c r="F13" s="43" t="s">
        <v>20</v>
      </c>
    </row>
    <row r="14" spans="1:6" ht="14.25" customHeight="1" x14ac:dyDescent="0.3">
      <c r="A14" s="38" t="s">
        <v>257</v>
      </c>
      <c r="B14" s="39">
        <v>2653</v>
      </c>
      <c r="C14" s="39">
        <v>109.8</v>
      </c>
      <c r="D14" s="40" t="s">
        <v>249</v>
      </c>
      <c r="E14" s="40" t="s">
        <v>250</v>
      </c>
      <c r="F14" s="43" t="s">
        <v>19</v>
      </c>
    </row>
    <row r="15" spans="1:6" ht="14.25" customHeight="1" x14ac:dyDescent="0.3">
      <c r="A15" s="41" t="s">
        <v>257</v>
      </c>
      <c r="B15" s="42">
        <v>2657</v>
      </c>
      <c r="C15" s="42">
        <v>43.400000000000006</v>
      </c>
      <c r="D15" s="43" t="s">
        <v>249</v>
      </c>
      <c r="E15" s="43" t="s">
        <v>250</v>
      </c>
      <c r="F15" s="43" t="s">
        <v>19</v>
      </c>
    </row>
    <row r="16" spans="1:6" ht="14.25" customHeight="1" x14ac:dyDescent="0.3">
      <c r="A16" s="38" t="s">
        <v>231</v>
      </c>
      <c r="B16" s="39">
        <v>2083</v>
      </c>
      <c r="C16" s="39">
        <v>51.4</v>
      </c>
      <c r="D16" s="40" t="s">
        <v>249</v>
      </c>
      <c r="E16" s="40" t="s">
        <v>251</v>
      </c>
      <c r="F16" s="43" t="s">
        <v>19</v>
      </c>
    </row>
    <row r="17" spans="1:6" ht="14.25" customHeight="1" x14ac:dyDescent="0.3">
      <c r="A17" s="41" t="s">
        <v>231</v>
      </c>
      <c r="B17" s="42">
        <v>2121</v>
      </c>
      <c r="C17" s="42">
        <v>40</v>
      </c>
      <c r="D17" s="43" t="s">
        <v>249</v>
      </c>
      <c r="E17" s="43" t="s">
        <v>250</v>
      </c>
      <c r="F17" s="43" t="s">
        <v>19</v>
      </c>
    </row>
    <row r="18" spans="1:6" ht="14.25" customHeight="1" x14ac:dyDescent="0.3">
      <c r="A18" s="38" t="s">
        <v>258</v>
      </c>
      <c r="B18" s="39">
        <v>2488</v>
      </c>
      <c r="C18" s="39">
        <v>41.7</v>
      </c>
      <c r="D18" s="40" t="s">
        <v>249</v>
      </c>
      <c r="E18" s="40" t="s">
        <v>251</v>
      </c>
      <c r="F18" s="43" t="s">
        <v>20</v>
      </c>
    </row>
    <row r="19" spans="1:6" ht="14.25" customHeight="1" x14ac:dyDescent="0.3">
      <c r="A19" s="41" t="s">
        <v>259</v>
      </c>
      <c r="B19" s="42">
        <v>2478</v>
      </c>
      <c r="C19" s="42">
        <v>16.2</v>
      </c>
      <c r="D19" s="43" t="s">
        <v>249</v>
      </c>
      <c r="E19" s="43" t="s">
        <v>250</v>
      </c>
      <c r="F19" s="43" t="s">
        <v>19</v>
      </c>
    </row>
    <row r="20" spans="1:6" ht="14.25" customHeight="1" x14ac:dyDescent="0.3">
      <c r="A20" s="38" t="s">
        <v>260</v>
      </c>
      <c r="B20" s="39">
        <v>3653</v>
      </c>
      <c r="C20" s="39">
        <v>32.5</v>
      </c>
      <c r="D20" s="40" t="s">
        <v>249</v>
      </c>
      <c r="E20" s="40" t="s">
        <v>250</v>
      </c>
      <c r="F20" s="43" t="s">
        <v>19</v>
      </c>
    </row>
    <row r="21" spans="1:6" ht="14.25" customHeight="1" x14ac:dyDescent="0.3">
      <c r="A21" s="41" t="s">
        <v>261</v>
      </c>
      <c r="B21" s="42">
        <v>2630</v>
      </c>
      <c r="C21" s="42">
        <v>34.700000000000003</v>
      </c>
      <c r="D21" s="43" t="s">
        <v>249</v>
      </c>
      <c r="E21" s="43" t="s">
        <v>250</v>
      </c>
      <c r="F21" s="43" t="s">
        <v>19</v>
      </c>
    </row>
    <row r="22" spans="1:6" ht="14.25" customHeight="1" x14ac:dyDescent="0.3">
      <c r="A22" s="38" t="s">
        <v>262</v>
      </c>
      <c r="B22" s="39">
        <v>1901</v>
      </c>
      <c r="C22" s="39">
        <v>99.199999999999989</v>
      </c>
      <c r="D22" s="40" t="s">
        <v>249</v>
      </c>
      <c r="E22" s="40" t="s">
        <v>250</v>
      </c>
      <c r="F22" s="43" t="s">
        <v>19</v>
      </c>
    </row>
    <row r="23" spans="1:6" ht="14.25" customHeight="1" x14ac:dyDescent="0.3">
      <c r="A23" s="41" t="s">
        <v>263</v>
      </c>
      <c r="B23" s="42">
        <v>2717</v>
      </c>
      <c r="C23" s="42">
        <v>17.8</v>
      </c>
      <c r="D23" s="43" t="s">
        <v>249</v>
      </c>
      <c r="E23" s="43" t="s">
        <v>250</v>
      </c>
      <c r="F23" s="43" t="s">
        <v>19</v>
      </c>
    </row>
    <row r="24" spans="1:6" ht="14.25" customHeight="1" x14ac:dyDescent="0.3">
      <c r="A24" s="38" t="s">
        <v>264</v>
      </c>
      <c r="B24" s="39">
        <v>2705</v>
      </c>
      <c r="C24" s="39">
        <v>74.5</v>
      </c>
      <c r="D24" s="40" t="s">
        <v>249</v>
      </c>
      <c r="E24" s="40" t="s">
        <v>251</v>
      </c>
      <c r="F24" s="43" t="s">
        <v>19</v>
      </c>
    </row>
    <row r="25" spans="1:6" ht="14.25" customHeight="1" x14ac:dyDescent="0.3">
      <c r="A25" s="41" t="s">
        <v>265</v>
      </c>
      <c r="B25" s="42">
        <v>4679</v>
      </c>
      <c r="C25" s="42">
        <v>24.8</v>
      </c>
      <c r="D25" s="43" t="s">
        <v>249</v>
      </c>
      <c r="E25" s="43" t="s">
        <v>250</v>
      </c>
      <c r="F25" s="43" t="s">
        <v>19</v>
      </c>
    </row>
    <row r="26" spans="1:6" ht="14.25" customHeight="1" x14ac:dyDescent="0.3">
      <c r="A26" s="38" t="s">
        <v>266</v>
      </c>
      <c r="B26" s="39">
        <v>2015</v>
      </c>
      <c r="C26" s="39">
        <v>48.6</v>
      </c>
      <c r="D26" s="40" t="s">
        <v>249</v>
      </c>
      <c r="E26" s="40" t="s">
        <v>251</v>
      </c>
      <c r="F26" s="43" t="s">
        <v>19</v>
      </c>
    </row>
    <row r="27" spans="1:6" ht="14.25" customHeight="1" x14ac:dyDescent="0.3">
      <c r="A27" s="41" t="s">
        <v>267</v>
      </c>
      <c r="B27" s="42">
        <v>2516</v>
      </c>
      <c r="C27" s="42">
        <v>8.8000000000000007</v>
      </c>
      <c r="D27" s="43" t="s">
        <v>249</v>
      </c>
      <c r="E27" s="43" t="s">
        <v>251</v>
      </c>
      <c r="F27" s="43" t="s">
        <v>20</v>
      </c>
    </row>
    <row r="28" spans="1:6" ht="14.25" customHeight="1" x14ac:dyDescent="0.3">
      <c r="A28" s="38" t="s">
        <v>267</v>
      </c>
      <c r="B28" s="39">
        <v>3569</v>
      </c>
      <c r="C28" s="39">
        <v>34.299999999999997</v>
      </c>
      <c r="D28" s="40" t="s">
        <v>249</v>
      </c>
      <c r="E28" s="40" t="s">
        <v>250</v>
      </c>
      <c r="F28" s="43" t="s">
        <v>19</v>
      </c>
    </row>
    <row r="29" spans="1:6" ht="14.25" customHeight="1" x14ac:dyDescent="0.3">
      <c r="A29" s="41" t="s">
        <v>268</v>
      </c>
      <c r="B29" s="42">
        <v>2364</v>
      </c>
      <c r="C29" s="42">
        <v>20.8</v>
      </c>
      <c r="D29" s="43" t="s">
        <v>249</v>
      </c>
      <c r="E29" s="43" t="s">
        <v>250</v>
      </c>
      <c r="F29" s="43" t="s">
        <v>19</v>
      </c>
    </row>
    <row r="30" spans="1:6" ht="14.25" customHeight="1" x14ac:dyDescent="0.3">
      <c r="A30" s="38" t="s">
        <v>268</v>
      </c>
      <c r="B30" s="39">
        <v>2620</v>
      </c>
      <c r="C30" s="39">
        <v>16</v>
      </c>
      <c r="D30" s="40" t="s">
        <v>249</v>
      </c>
      <c r="E30" s="40" t="s">
        <v>250</v>
      </c>
      <c r="F30" s="43" t="s">
        <v>19</v>
      </c>
    </row>
    <row r="31" spans="1:6" ht="14.25" customHeight="1" x14ac:dyDescent="0.3">
      <c r="A31" s="38" t="s">
        <v>268</v>
      </c>
      <c r="B31" s="39">
        <v>2634</v>
      </c>
      <c r="C31" s="39">
        <v>18</v>
      </c>
      <c r="D31" s="40" t="s">
        <v>249</v>
      </c>
      <c r="E31" s="40" t="s">
        <v>250</v>
      </c>
      <c r="F31" s="43" t="s">
        <v>19</v>
      </c>
    </row>
    <row r="32" spans="1:6" ht="14.25" customHeight="1" x14ac:dyDescent="0.3">
      <c r="A32" s="41" t="s">
        <v>268</v>
      </c>
      <c r="B32" s="42">
        <v>2641</v>
      </c>
      <c r="C32" s="42">
        <v>16.2</v>
      </c>
      <c r="D32" s="43" t="s">
        <v>249</v>
      </c>
      <c r="E32" s="43" t="s">
        <v>250</v>
      </c>
      <c r="F32" s="43" t="s">
        <v>19</v>
      </c>
    </row>
    <row r="33" spans="1:6" ht="14.25" customHeight="1" x14ac:dyDescent="0.3">
      <c r="A33" s="38" t="s">
        <v>268</v>
      </c>
      <c r="B33" s="39">
        <v>2642</v>
      </c>
      <c r="C33" s="39">
        <v>19.8</v>
      </c>
      <c r="D33" s="40" t="s">
        <v>249</v>
      </c>
      <c r="E33" s="40" t="s">
        <v>250</v>
      </c>
      <c r="F33" s="43" t="s">
        <v>19</v>
      </c>
    </row>
    <row r="34" spans="1:6" ht="14.25" customHeight="1" x14ac:dyDescent="0.3">
      <c r="A34" s="41" t="s">
        <v>269</v>
      </c>
      <c r="B34" s="42">
        <v>3700</v>
      </c>
      <c r="C34" s="42">
        <v>8.6</v>
      </c>
      <c r="D34" s="43" t="s">
        <v>249</v>
      </c>
      <c r="E34" s="43" t="s">
        <v>251</v>
      </c>
      <c r="F34" s="43" t="s">
        <v>20</v>
      </c>
    </row>
    <row r="35" spans="1:6" ht="14.25" customHeight="1" x14ac:dyDescent="0.3">
      <c r="A35" s="38" t="s">
        <v>270</v>
      </c>
      <c r="B35" s="39">
        <v>2139</v>
      </c>
      <c r="C35" s="39">
        <v>45.1</v>
      </c>
      <c r="D35" s="40" t="s">
        <v>249</v>
      </c>
      <c r="E35" s="40" t="s">
        <v>250</v>
      </c>
      <c r="F35" s="43" t="s">
        <v>19</v>
      </c>
    </row>
    <row r="36" spans="1:6" ht="14.25" customHeight="1" x14ac:dyDescent="0.3">
      <c r="A36" s="41" t="s">
        <v>271</v>
      </c>
      <c r="B36" s="42">
        <v>3666</v>
      </c>
      <c r="C36" s="42">
        <v>5</v>
      </c>
      <c r="D36" s="43" t="s">
        <v>249</v>
      </c>
      <c r="E36" s="43" t="s">
        <v>251</v>
      </c>
      <c r="F36" s="43" t="s">
        <v>19</v>
      </c>
    </row>
    <row r="37" spans="1:6" ht="14.25" customHeight="1" x14ac:dyDescent="0.3">
      <c r="A37" s="38" t="s">
        <v>271</v>
      </c>
      <c r="B37" s="39">
        <v>3760</v>
      </c>
      <c r="C37" s="39">
        <v>29</v>
      </c>
      <c r="D37" s="40" t="s">
        <v>249</v>
      </c>
      <c r="E37" s="40" t="s">
        <v>251</v>
      </c>
      <c r="F37" s="43" t="s">
        <v>19</v>
      </c>
    </row>
    <row r="38" spans="1:6" ht="14.25" customHeight="1" x14ac:dyDescent="0.3">
      <c r="A38" s="41" t="s">
        <v>243</v>
      </c>
      <c r="B38" s="42">
        <v>2782</v>
      </c>
      <c r="C38" s="42">
        <v>20.8</v>
      </c>
      <c r="D38" s="43" t="s">
        <v>249</v>
      </c>
      <c r="E38" s="43" t="s">
        <v>251</v>
      </c>
      <c r="F38" s="43" t="s">
        <v>19</v>
      </c>
    </row>
    <row r="39" spans="1:6" ht="14.25" customHeight="1" x14ac:dyDescent="0.3">
      <c r="A39" s="38" t="s">
        <v>243</v>
      </c>
      <c r="B39" s="39">
        <v>2786</v>
      </c>
      <c r="C39" s="39">
        <v>16</v>
      </c>
      <c r="D39" s="40" t="s">
        <v>249</v>
      </c>
      <c r="E39" s="40" t="s">
        <v>251</v>
      </c>
      <c r="F39" s="43" t="s">
        <v>19</v>
      </c>
    </row>
    <row r="40" spans="1:6" ht="14.25" customHeight="1" x14ac:dyDescent="0.3">
      <c r="A40" s="41" t="s">
        <v>243</v>
      </c>
      <c r="B40" s="42">
        <v>2800</v>
      </c>
      <c r="C40" s="42">
        <v>89.6</v>
      </c>
      <c r="D40" s="43" t="s">
        <v>249</v>
      </c>
      <c r="E40" s="43" t="s">
        <v>251</v>
      </c>
      <c r="F40" s="43" t="s">
        <v>19</v>
      </c>
    </row>
    <row r="41" spans="1:6" ht="14.25" customHeight="1" x14ac:dyDescent="0.3">
      <c r="A41" s="38" t="s">
        <v>244</v>
      </c>
      <c r="B41" s="39">
        <v>1507</v>
      </c>
      <c r="C41" s="39">
        <v>4</v>
      </c>
      <c r="D41" s="40" t="s">
        <v>249</v>
      </c>
      <c r="E41" s="40" t="s">
        <v>251</v>
      </c>
      <c r="F41" s="43" t="s">
        <v>19</v>
      </c>
    </row>
    <row r="42" spans="1:6" ht="14.25" customHeight="1" x14ac:dyDescent="0.3">
      <c r="A42" s="41" t="s">
        <v>244</v>
      </c>
      <c r="B42" s="42">
        <v>1521</v>
      </c>
      <c r="C42" s="42">
        <v>37.9</v>
      </c>
      <c r="D42" s="43" t="s">
        <v>249</v>
      </c>
      <c r="E42" s="43" t="s">
        <v>250</v>
      </c>
      <c r="F42" s="43" t="s">
        <v>19</v>
      </c>
    </row>
    <row r="43" spans="1:6" ht="14.25" customHeight="1" x14ac:dyDescent="0.3">
      <c r="A43" s="38" t="s">
        <v>244</v>
      </c>
      <c r="B43" s="39">
        <v>1527</v>
      </c>
      <c r="C43" s="39">
        <v>41.4</v>
      </c>
      <c r="D43" s="40" t="s">
        <v>249</v>
      </c>
      <c r="E43" s="40" t="s">
        <v>250</v>
      </c>
      <c r="F43" s="43" t="s">
        <v>19</v>
      </c>
    </row>
    <row r="44" spans="1:6" ht="14.25" customHeight="1" x14ac:dyDescent="0.3">
      <c r="A44" s="41" t="s">
        <v>244</v>
      </c>
      <c r="B44" s="42">
        <v>1531</v>
      </c>
      <c r="C44" s="42">
        <v>49.5</v>
      </c>
      <c r="D44" s="43" t="s">
        <v>249</v>
      </c>
      <c r="E44" s="43" t="s">
        <v>250</v>
      </c>
      <c r="F44" s="43" t="s">
        <v>19</v>
      </c>
    </row>
    <row r="45" spans="1:6" ht="14.25" customHeight="1" x14ac:dyDescent="0.3">
      <c r="A45" s="38" t="s">
        <v>244</v>
      </c>
      <c r="B45" s="39">
        <v>1581</v>
      </c>
      <c r="C45" s="39">
        <v>49.099999999999994</v>
      </c>
      <c r="D45" s="40" t="s">
        <v>249</v>
      </c>
      <c r="E45" s="40" t="s">
        <v>250</v>
      </c>
      <c r="F45" s="43" t="s">
        <v>19</v>
      </c>
    </row>
    <row r="46" spans="1:6" ht="14.25" customHeight="1" x14ac:dyDescent="0.3">
      <c r="A46" s="41" t="s">
        <v>244</v>
      </c>
      <c r="B46" s="42">
        <v>1987</v>
      </c>
      <c r="C46" s="42">
        <v>46.8</v>
      </c>
      <c r="D46" s="43" t="s">
        <v>249</v>
      </c>
      <c r="E46" s="43" t="s">
        <v>251</v>
      </c>
      <c r="F46" s="43" t="s">
        <v>20</v>
      </c>
    </row>
    <row r="47" spans="1:6" ht="14.25" customHeight="1" x14ac:dyDescent="0.3">
      <c r="A47" s="38" t="s">
        <v>272</v>
      </c>
      <c r="B47" s="39">
        <v>3121</v>
      </c>
      <c r="C47" s="39">
        <v>33.700000000000003</v>
      </c>
      <c r="D47" s="40" t="s">
        <v>249</v>
      </c>
      <c r="E47" s="40" t="s">
        <v>250</v>
      </c>
      <c r="F47" s="43" t="s">
        <v>19</v>
      </c>
    </row>
    <row r="48" spans="1:6" ht="14.25" customHeight="1" x14ac:dyDescent="0.3">
      <c r="A48" s="41" t="s">
        <v>273</v>
      </c>
      <c r="B48" s="42">
        <v>2086</v>
      </c>
      <c r="C48" s="42">
        <v>44.5</v>
      </c>
      <c r="D48" s="43" t="s">
        <v>249</v>
      </c>
      <c r="E48" s="43" t="s">
        <v>251</v>
      </c>
      <c r="F48" s="43" t="s">
        <v>19</v>
      </c>
    </row>
    <row r="49" spans="1:6" ht="14.25" customHeight="1" x14ac:dyDescent="0.3">
      <c r="A49" s="38" t="s">
        <v>273</v>
      </c>
      <c r="B49" s="39">
        <v>2124</v>
      </c>
      <c r="C49" s="39">
        <v>88.8</v>
      </c>
      <c r="D49" s="40" t="s">
        <v>249</v>
      </c>
      <c r="E49" s="40" t="s">
        <v>251</v>
      </c>
      <c r="F49" s="43" t="s">
        <v>19</v>
      </c>
    </row>
  </sheetData>
  <autoFilter ref="A1:F18" xr:uid="{00000000-0009-0000-0000-000007000000}"/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8"/>
  <sheetViews>
    <sheetView workbookViewId="0">
      <selection activeCell="D28" sqref="D16:D28"/>
    </sheetView>
  </sheetViews>
  <sheetFormatPr baseColWidth="10" defaultRowHeight="15" customHeight="1" x14ac:dyDescent="0.3"/>
  <cols>
    <col min="1" max="5" width="17.21875" customWidth="1"/>
    <col min="6" max="6" width="17.109375" bestFit="1" customWidth="1"/>
    <col min="7" max="7" width="17.21875" customWidth="1"/>
    <col min="8" max="8" width="12.77734375" bestFit="1" customWidth="1"/>
    <col min="9" max="10" width="11.77734375" bestFit="1" customWidth="1"/>
  </cols>
  <sheetData>
    <row r="1" spans="1:10" ht="14.4" x14ac:dyDescent="0.3">
      <c r="A1" s="82" t="s">
        <v>33</v>
      </c>
      <c r="B1" s="82" t="s">
        <v>86</v>
      </c>
      <c r="C1" s="82" t="s">
        <v>87</v>
      </c>
      <c r="D1" s="82" t="s">
        <v>88</v>
      </c>
      <c r="E1" s="82" t="s">
        <v>89</v>
      </c>
      <c r="F1" s="82" t="s">
        <v>90</v>
      </c>
      <c r="G1" s="82" t="s">
        <v>91</v>
      </c>
      <c r="H1" s="82" t="s">
        <v>31</v>
      </c>
      <c r="I1" s="82" t="s">
        <v>100</v>
      </c>
      <c r="J1" s="82" t="s">
        <v>101</v>
      </c>
    </row>
    <row r="2" spans="1:10" ht="14.4" x14ac:dyDescent="0.3">
      <c r="A2" s="60">
        <v>46198</v>
      </c>
      <c r="B2" s="61" t="s">
        <v>11</v>
      </c>
      <c r="C2" s="61" t="s">
        <v>92</v>
      </c>
      <c r="D2" s="61" t="s">
        <v>93</v>
      </c>
      <c r="E2" s="61" t="s">
        <v>94</v>
      </c>
      <c r="F2" s="61" t="s">
        <v>95</v>
      </c>
      <c r="G2" s="61" t="s">
        <v>96</v>
      </c>
      <c r="H2" s="61">
        <v>3</v>
      </c>
      <c r="I2" s="55">
        <v>6000</v>
      </c>
      <c r="J2" s="55">
        <f>+I2*H2</f>
        <v>18000</v>
      </c>
    </row>
    <row r="3" spans="1:10" ht="27.6" x14ac:dyDescent="0.3">
      <c r="A3" s="60">
        <v>46199</v>
      </c>
      <c r="B3" s="61" t="s">
        <v>11</v>
      </c>
      <c r="C3" s="61" t="s">
        <v>92</v>
      </c>
      <c r="D3" s="61" t="s">
        <v>93</v>
      </c>
      <c r="E3" s="61" t="s">
        <v>97</v>
      </c>
      <c r="F3" s="61" t="s">
        <v>79</v>
      </c>
      <c r="G3" s="61" t="s">
        <v>96</v>
      </c>
      <c r="H3" s="61">
        <v>1</v>
      </c>
      <c r="I3" s="55">
        <v>10400</v>
      </c>
      <c r="J3" s="55">
        <f t="shared" ref="J3:J4" si="0">+I3*H3</f>
        <v>10400</v>
      </c>
    </row>
    <row r="4" spans="1:10" ht="14.4" x14ac:dyDescent="0.3">
      <c r="A4" s="60">
        <v>46203</v>
      </c>
      <c r="B4" s="61" t="s">
        <v>11</v>
      </c>
      <c r="C4" s="61" t="s">
        <v>92</v>
      </c>
      <c r="D4" s="61" t="s">
        <v>93</v>
      </c>
      <c r="E4" s="61" t="s">
        <v>98</v>
      </c>
      <c r="F4" s="61" t="s">
        <v>99</v>
      </c>
      <c r="G4" s="61" t="s">
        <v>96</v>
      </c>
      <c r="H4" s="61">
        <v>1</v>
      </c>
      <c r="I4" s="55">
        <v>28000</v>
      </c>
      <c r="J4" s="55">
        <f t="shared" si="0"/>
        <v>28000</v>
      </c>
    </row>
    <row r="5" spans="1:10" ht="14.4" x14ac:dyDescent="0.3">
      <c r="E5" s="61"/>
      <c r="J5" s="54">
        <f>SUM(J2:J4)</f>
        <v>56400</v>
      </c>
    </row>
    <row r="6" spans="1:10" ht="14.4" x14ac:dyDescent="0.3">
      <c r="E6" s="61"/>
    </row>
    <row r="7" spans="1:10" ht="14.4" x14ac:dyDescent="0.3">
      <c r="E7" s="61"/>
    </row>
    <row r="8" spans="1:10" ht="14.4" x14ac:dyDescent="0.3"/>
    <row r="9" spans="1:10" ht="14.4" x14ac:dyDescent="0.3">
      <c r="E9" s="61"/>
    </row>
    <row r="10" spans="1:10" ht="14.4" x14ac:dyDescent="0.3"/>
    <row r="11" spans="1:10" ht="14.4" x14ac:dyDescent="0.3"/>
    <row r="12" spans="1:10" ht="14.4" x14ac:dyDescent="0.3"/>
    <row r="14" spans="1:10" s="52" customFormat="1" ht="14.4" x14ac:dyDescent="0.3">
      <c r="A14" s="52" t="s">
        <v>78</v>
      </c>
    </row>
    <row r="15" spans="1:10" ht="14.25" customHeight="1" x14ac:dyDescent="0.3">
      <c r="A15" t="s">
        <v>32</v>
      </c>
      <c r="B15" t="s">
        <v>33</v>
      </c>
      <c r="C15" t="s">
        <v>68</v>
      </c>
      <c r="D15" t="s">
        <v>34</v>
      </c>
    </row>
    <row r="16" spans="1:10" ht="14.25" customHeight="1" x14ac:dyDescent="0.3">
      <c r="A16" t="s">
        <v>69</v>
      </c>
      <c r="B16" s="89">
        <v>46175</v>
      </c>
      <c r="C16" s="50" t="s">
        <v>70</v>
      </c>
      <c r="D16" t="s">
        <v>102</v>
      </c>
    </row>
    <row r="17" spans="1:4" ht="14.25" customHeight="1" x14ac:dyDescent="0.3">
      <c r="A17" t="s">
        <v>71</v>
      </c>
      <c r="B17" s="89">
        <v>46177</v>
      </c>
      <c r="C17" s="50" t="s">
        <v>70</v>
      </c>
      <c r="D17" t="s">
        <v>103</v>
      </c>
    </row>
    <row r="18" spans="1:4" ht="14.25" customHeight="1" x14ac:dyDescent="0.3">
      <c r="A18" t="s">
        <v>73</v>
      </c>
      <c r="B18" s="89">
        <v>46177</v>
      </c>
      <c r="C18" s="50" t="s">
        <v>72</v>
      </c>
      <c r="D18" t="s">
        <v>104</v>
      </c>
    </row>
    <row r="19" spans="1:4" ht="14.25" customHeight="1" x14ac:dyDescent="0.3">
      <c r="A19" t="s">
        <v>74</v>
      </c>
      <c r="B19" s="89">
        <v>46182</v>
      </c>
      <c r="C19" s="50" t="s">
        <v>72</v>
      </c>
      <c r="D19" t="s">
        <v>105</v>
      </c>
    </row>
    <row r="20" spans="1:4" ht="14.25" customHeight="1" x14ac:dyDescent="0.3">
      <c r="A20" t="s">
        <v>73</v>
      </c>
      <c r="B20" s="89">
        <v>46182</v>
      </c>
      <c r="C20" s="50" t="s">
        <v>72</v>
      </c>
      <c r="D20" t="s">
        <v>106</v>
      </c>
    </row>
    <row r="21" spans="1:4" ht="14.25" customHeight="1" x14ac:dyDescent="0.3">
      <c r="A21" t="s">
        <v>74</v>
      </c>
      <c r="B21" s="89">
        <v>46182</v>
      </c>
      <c r="C21" s="50" t="s">
        <v>72</v>
      </c>
      <c r="D21" t="s">
        <v>107</v>
      </c>
    </row>
    <row r="22" spans="1:4" ht="14.25" customHeight="1" x14ac:dyDescent="0.3">
      <c r="A22" t="s">
        <v>75</v>
      </c>
      <c r="B22" s="89">
        <v>46184</v>
      </c>
      <c r="C22" s="50" t="s">
        <v>72</v>
      </c>
      <c r="D22" t="s">
        <v>108</v>
      </c>
    </row>
    <row r="23" spans="1:4" ht="14.25" customHeight="1" x14ac:dyDescent="0.3">
      <c r="A23" t="s">
        <v>71</v>
      </c>
      <c r="B23" s="89">
        <v>46185</v>
      </c>
      <c r="C23" s="50" t="s">
        <v>70</v>
      </c>
      <c r="D23" t="s">
        <v>109</v>
      </c>
    </row>
    <row r="24" spans="1:4" ht="14.25" customHeight="1" x14ac:dyDescent="0.3">
      <c r="A24" t="s">
        <v>71</v>
      </c>
      <c r="B24" s="89">
        <v>46189</v>
      </c>
      <c r="C24" s="50" t="s">
        <v>72</v>
      </c>
      <c r="D24" s="76" t="s">
        <v>110</v>
      </c>
    </row>
    <row r="25" spans="1:4" ht="14.25" customHeight="1" x14ac:dyDescent="0.3">
      <c r="A25" t="s">
        <v>76</v>
      </c>
      <c r="B25" s="89">
        <v>46190</v>
      </c>
      <c r="C25" s="50" t="s">
        <v>70</v>
      </c>
      <c r="D25" t="s">
        <v>111</v>
      </c>
    </row>
    <row r="26" spans="1:4" ht="14.25" customHeight="1" x14ac:dyDescent="0.3">
      <c r="A26" t="s">
        <v>77</v>
      </c>
      <c r="B26" s="89">
        <v>46191</v>
      </c>
      <c r="C26" s="50" t="s">
        <v>70</v>
      </c>
      <c r="D26" t="s">
        <v>112</v>
      </c>
    </row>
    <row r="27" spans="1:4" ht="14.25" customHeight="1" x14ac:dyDescent="0.3">
      <c r="A27" t="s">
        <v>75</v>
      </c>
      <c r="B27" s="89">
        <v>46192</v>
      </c>
      <c r="C27" s="50" t="s">
        <v>72</v>
      </c>
      <c r="D27" t="s">
        <v>113</v>
      </c>
    </row>
    <row r="28" spans="1:4" ht="14.25" customHeight="1" x14ac:dyDescent="0.3">
      <c r="B28" s="89">
        <v>46192</v>
      </c>
      <c r="C28" s="50" t="s">
        <v>70</v>
      </c>
      <c r="D28" t="s">
        <v>114</v>
      </c>
    </row>
  </sheetData>
  <phoneticPr fontId="19" type="noConversion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1C3CA-CF2D-40FC-8DCF-06B6B52848D3}">
  <dimension ref="A1:C4"/>
  <sheetViews>
    <sheetView workbookViewId="0">
      <selection activeCell="C1" sqref="C1"/>
    </sheetView>
  </sheetViews>
  <sheetFormatPr baseColWidth="10" defaultRowHeight="14.4" x14ac:dyDescent="0.3"/>
  <cols>
    <col min="1" max="1" width="12.88671875" customWidth="1"/>
    <col min="2" max="2" width="14.5546875" customWidth="1"/>
    <col min="3" max="3" width="96.33203125" bestFit="1" customWidth="1"/>
  </cols>
  <sheetData>
    <row r="1" spans="1:3" s="52" customFormat="1" x14ac:dyDescent="0.3">
      <c r="A1" s="52" t="s">
        <v>115</v>
      </c>
    </row>
    <row r="2" spans="1:3" x14ac:dyDescent="0.3">
      <c r="A2" s="49" t="s">
        <v>33</v>
      </c>
      <c r="B2" t="s">
        <v>68</v>
      </c>
      <c r="C2" t="s">
        <v>34</v>
      </c>
    </row>
    <row r="3" spans="1:3" x14ac:dyDescent="0.3">
      <c r="A3" s="83">
        <v>46183</v>
      </c>
      <c r="B3" s="46" t="s">
        <v>72</v>
      </c>
      <c r="C3" s="47" t="s">
        <v>116</v>
      </c>
    </row>
    <row r="4" spans="1:3" x14ac:dyDescent="0.3">
      <c r="A4" s="83">
        <v>46183</v>
      </c>
      <c r="B4" s="48" t="s">
        <v>72</v>
      </c>
      <c r="C4" s="4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PAGO A J.O</vt:lpstr>
      <vt:lpstr>P.F SUELDO DEPOSITADO</vt:lpstr>
      <vt:lpstr>S.A SUELDO DEPOSITADO</vt:lpstr>
      <vt:lpstr>SC. SUELDOS DEPOSITADOS</vt:lpstr>
      <vt:lpstr>M2 EJECUTADOS </vt:lpstr>
      <vt:lpstr>P.F FRENTES</vt:lpstr>
      <vt:lpstr>S.A FRENTES</vt:lpstr>
      <vt:lpstr>S.C FRENTES</vt:lpstr>
      <vt:lpstr>SA Descuento</vt:lpstr>
      <vt:lpstr>P.F DESCUENTOS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Agustin Fernandez</cp:lastModifiedBy>
  <dcterms:created xsi:type="dcterms:W3CDTF">2021-03-18T13:39:36Z</dcterms:created>
  <dcterms:modified xsi:type="dcterms:W3CDTF">2026-07-14T19:23:33Z</dcterms:modified>
</cp:coreProperties>
</file>